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filterPrivacy="1" showInkAnnotation="0" codeName="ThisWorkbook" defaultThemeVersion="124226"/>
  <xr:revisionPtr revIDLastSave="0" documentId="13_ncr:1_{8AF12F7E-8A94-4207-8293-71D4855B254F}"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108" yWindow="-108" windowWidth="23256" windowHeight="12576" tabRatio="68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Stay'!$A$1:$S$15</definedName>
    <definedName name="_xlnm.Print_Area" localSheetId="2">'1. Staff costs'!$A$1:$U$63</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costs'!$63:$1048576,'1.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91029"/>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6" i="71" l="1"/>
  <c r="C16" i="71"/>
  <c r="D15" i="71"/>
  <c r="C15" i="71"/>
  <c r="J15" i="71" s="1"/>
  <c r="I15" i="71" s="1"/>
  <c r="E17" i="70"/>
  <c r="D17" i="70"/>
  <c r="I17" i="70" s="1"/>
  <c r="H17" i="70" s="1"/>
  <c r="E16" i="70"/>
  <c r="D16" i="70"/>
  <c r="I16" i="70" s="1"/>
  <c r="H16" i="70" s="1"/>
  <c r="E15" i="70"/>
  <c r="D15" i="70"/>
  <c r="E16" i="26"/>
  <c r="D16" i="26"/>
  <c r="I16" i="26" s="1"/>
  <c r="H16" i="26" s="1"/>
  <c r="E15" i="26"/>
  <c r="D15" i="26"/>
  <c r="I15" i="26" s="1"/>
  <c r="H15" i="26" s="1"/>
  <c r="E23" i="40"/>
  <c r="D23" i="40"/>
  <c r="T23" i="40" s="1"/>
  <c r="E62" i="40"/>
  <c r="D62" i="40"/>
  <c r="E61" i="40"/>
  <c r="D61" i="40"/>
  <c r="T61" i="40" s="1"/>
  <c r="E60" i="40"/>
  <c r="D60" i="40"/>
  <c r="T60" i="40" s="1"/>
  <c r="E59" i="40"/>
  <c r="D59" i="40"/>
  <c r="T59" i="40" s="1"/>
  <c r="E58" i="40"/>
  <c r="D58" i="40"/>
  <c r="E57" i="40"/>
  <c r="D57" i="40"/>
  <c r="T57" i="40" s="1"/>
  <c r="E56" i="40"/>
  <c r="D56" i="40"/>
  <c r="T56" i="40" s="1"/>
  <c r="E55" i="40"/>
  <c r="D55" i="40"/>
  <c r="E54" i="40"/>
  <c r="D54" i="40"/>
  <c r="E53" i="40"/>
  <c r="D53" i="40"/>
  <c r="T53" i="40" s="1"/>
  <c r="E52" i="40"/>
  <c r="D52" i="40"/>
  <c r="T52" i="40" s="1"/>
  <c r="E51" i="40"/>
  <c r="D51" i="40"/>
  <c r="E50" i="40"/>
  <c r="D50" i="40"/>
  <c r="E49" i="40"/>
  <c r="D49" i="40"/>
  <c r="T49" i="40" s="1"/>
  <c r="E48" i="40"/>
  <c r="D48" i="40"/>
  <c r="T48" i="40" s="1"/>
  <c r="E47" i="40"/>
  <c r="D47" i="40"/>
  <c r="E46" i="40"/>
  <c r="D46" i="40"/>
  <c r="E45" i="40"/>
  <c r="D45" i="40"/>
  <c r="T45" i="40" s="1"/>
  <c r="E44" i="40"/>
  <c r="D44" i="40"/>
  <c r="E43" i="40"/>
  <c r="D43" i="40"/>
  <c r="T43" i="40" s="1"/>
  <c r="E42" i="40"/>
  <c r="D42" i="40"/>
  <c r="T42" i="40" s="1"/>
  <c r="E41" i="40"/>
  <c r="D41" i="40"/>
  <c r="T41" i="40" s="1"/>
  <c r="E40" i="40"/>
  <c r="D40" i="40"/>
  <c r="T40" i="40" s="1"/>
  <c r="E39" i="40"/>
  <c r="D39" i="40"/>
  <c r="T39" i="40" s="1"/>
  <c r="E38" i="40"/>
  <c r="D38" i="40"/>
  <c r="T38" i="40" s="1"/>
  <c r="E37" i="40"/>
  <c r="D37" i="40"/>
  <c r="T37" i="40" s="1"/>
  <c r="E36" i="40"/>
  <c r="D36" i="40"/>
  <c r="T36" i="40" s="1"/>
  <c r="E35" i="40"/>
  <c r="D35" i="40"/>
  <c r="T35" i="40" s="1"/>
  <c r="E34" i="40"/>
  <c r="D34" i="40"/>
  <c r="T34" i="40" s="1"/>
  <c r="E33" i="40"/>
  <c r="D33" i="40"/>
  <c r="T33" i="40" s="1"/>
  <c r="D32" i="40"/>
  <c r="E31" i="40"/>
  <c r="D31" i="40"/>
  <c r="T31" i="40" s="1"/>
  <c r="E30" i="40"/>
  <c r="D30" i="40"/>
  <c r="T30" i="40" s="1"/>
  <c r="E29" i="40"/>
  <c r="D29" i="40"/>
  <c r="T29" i="40" s="1"/>
  <c r="E28" i="40"/>
  <c r="D28" i="40"/>
  <c r="T28" i="40" s="1"/>
  <c r="E27" i="40"/>
  <c r="D27" i="40"/>
  <c r="T27" i="40" s="1"/>
  <c r="E26" i="40"/>
  <c r="D26" i="40"/>
  <c r="T26" i="40" s="1"/>
  <c r="E25" i="40"/>
  <c r="D25" i="40"/>
  <c r="E24" i="40"/>
  <c r="D24" i="40"/>
  <c r="T24" i="40" s="1"/>
  <c r="E22" i="40"/>
  <c r="D22" i="40"/>
  <c r="T22" i="40" s="1"/>
  <c r="E21" i="40"/>
  <c r="D21" i="40"/>
  <c r="T21" i="40" s="1"/>
  <c r="E20" i="40"/>
  <c r="D20" i="40"/>
  <c r="E19" i="40"/>
  <c r="D19" i="40"/>
  <c r="T19" i="40" s="1"/>
  <c r="E18" i="40"/>
  <c r="D18" i="40"/>
  <c r="T18" i="40" s="1"/>
  <c r="E17" i="40"/>
  <c r="D17" i="40"/>
  <c r="T17" i="40" s="1"/>
  <c r="E16" i="40"/>
  <c r="D16" i="40"/>
  <c r="E15" i="40"/>
  <c r="D15" i="40"/>
  <c r="T15" i="40" s="1"/>
  <c r="N13" i="39"/>
  <c r="N14" i="39"/>
  <c r="T46" i="40" l="1"/>
  <c r="R46" i="40" s="1"/>
  <c r="T50" i="40"/>
  <c r="T58" i="40"/>
  <c r="T62" i="40"/>
  <c r="I15" i="70"/>
  <c r="H15" i="70" s="1"/>
  <c r="J16" i="71"/>
  <c r="I16" i="71" s="1"/>
  <c r="J23" i="40"/>
  <c r="K23" i="40" s="1"/>
  <c r="G23" i="40"/>
  <c r="H23" i="40" s="1"/>
  <c r="P23" i="40"/>
  <c r="Q23" i="40" s="1"/>
  <c r="M23" i="40"/>
  <c r="N23" i="40" s="1"/>
  <c r="R23" i="40"/>
  <c r="R62" i="40"/>
  <c r="R61" i="40"/>
  <c r="R60" i="40"/>
  <c r="R59" i="40"/>
  <c r="T47" i="40"/>
  <c r="R47" i="40" s="1"/>
  <c r="T51" i="40"/>
  <c r="R51" i="40" s="1"/>
  <c r="T55" i="40"/>
  <c r="R55" i="40" s="1"/>
  <c r="R58" i="40"/>
  <c r="R57" i="40"/>
  <c r="T54" i="40"/>
  <c r="R54" i="40" s="1"/>
  <c r="R56" i="40"/>
  <c r="R53" i="40"/>
  <c r="R52" i="40"/>
  <c r="R50" i="40"/>
  <c r="R49" i="40"/>
  <c r="R48" i="40"/>
  <c r="T44" i="40"/>
  <c r="R44" i="40" s="1"/>
  <c r="R45" i="40"/>
  <c r="R43" i="40"/>
  <c r="R42" i="40"/>
  <c r="R41" i="40"/>
  <c r="R40" i="40"/>
  <c r="R39" i="40"/>
  <c r="R38" i="40"/>
  <c r="R37" i="40"/>
  <c r="R36" i="40"/>
  <c r="R35" i="40"/>
  <c r="R34" i="40"/>
  <c r="R33" i="40"/>
  <c r="R31" i="40"/>
  <c r="R30" i="40"/>
  <c r="R29" i="40"/>
  <c r="R28" i="40"/>
  <c r="T16" i="40"/>
  <c r="R16" i="40" s="1"/>
  <c r="T20" i="40"/>
  <c r="R20" i="40" s="1"/>
  <c r="T25" i="40"/>
  <c r="R25" i="40" s="1"/>
  <c r="R27" i="40"/>
  <c r="R26" i="40"/>
  <c r="R24" i="40"/>
  <c r="R22" i="40"/>
  <c r="R21" i="40"/>
  <c r="R19" i="40"/>
  <c r="R18" i="40"/>
  <c r="R17" i="40"/>
  <c r="R15" i="40"/>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S23" i="40" l="1"/>
  <c r="E21" i="41"/>
  <c r="E20" i="41"/>
  <c r="E17" i="41"/>
  <c r="B6" i="55" l="1"/>
  <c r="H6" i="55" s="1"/>
  <c r="B7" i="55"/>
  <c r="H7" i="55" s="1"/>
  <c r="B8" i="55"/>
  <c r="H8" i="55" s="1"/>
  <c r="B9" i="55"/>
  <c r="H9" i="55" s="1"/>
  <c r="B5" i="55"/>
  <c r="G21" i="55"/>
  <c r="F21" i="55"/>
  <c r="E21" i="55"/>
  <c r="D21" i="55"/>
  <c r="C21" i="55"/>
  <c r="O11" i="40" l="1"/>
  <c r="P62" i="40" s="1"/>
  <c r="Q62" i="40" s="1"/>
  <c r="L11" i="40"/>
  <c r="M62" i="40" s="1"/>
  <c r="N62" i="40" s="1"/>
  <c r="I11" i="40"/>
  <c r="J62" i="40" s="1"/>
  <c r="K62" i="40" s="1"/>
  <c r="F11" i="40"/>
  <c r="G62" i="40" s="1"/>
  <c r="H62" i="40" s="1"/>
  <c r="S62" i="40" l="1"/>
  <c r="P60" i="40"/>
  <c r="Q60" i="40" s="1"/>
  <c r="P61" i="40"/>
  <c r="Q61" i="40" s="1"/>
  <c r="M60" i="40"/>
  <c r="N60" i="40" s="1"/>
  <c r="M61" i="40"/>
  <c r="N61" i="40" s="1"/>
  <c r="G60" i="40"/>
  <c r="H60" i="40" s="1"/>
  <c r="G61" i="40"/>
  <c r="H61" i="40" s="1"/>
  <c r="J60" i="40"/>
  <c r="K60" i="40" s="1"/>
  <c r="J61" i="40"/>
  <c r="K61" i="40" s="1"/>
  <c r="P58" i="40"/>
  <c r="Q58" i="40" s="1"/>
  <c r="P59" i="40"/>
  <c r="Q59" i="40" s="1"/>
  <c r="J58" i="40"/>
  <c r="K58" i="40" s="1"/>
  <c r="J59" i="40"/>
  <c r="K59" i="40" s="1"/>
  <c r="M58" i="40"/>
  <c r="N58" i="40" s="1"/>
  <c r="M59" i="40"/>
  <c r="N59" i="40" s="1"/>
  <c r="G58" i="40"/>
  <c r="H58" i="40" s="1"/>
  <c r="G59" i="40"/>
  <c r="H59" i="40" s="1"/>
  <c r="G56" i="40"/>
  <c r="H56" i="40" s="1"/>
  <c r="G57" i="40"/>
  <c r="H57" i="40" s="1"/>
  <c r="P56" i="40"/>
  <c r="Q56" i="40" s="1"/>
  <c r="P57" i="40"/>
  <c r="Q57" i="40" s="1"/>
  <c r="J56" i="40"/>
  <c r="K56" i="40" s="1"/>
  <c r="J57" i="40"/>
  <c r="K57" i="40" s="1"/>
  <c r="M56" i="40"/>
  <c r="N56" i="40" s="1"/>
  <c r="M57" i="40"/>
  <c r="N57" i="40" s="1"/>
  <c r="G54" i="40"/>
  <c r="H54" i="40" s="1"/>
  <c r="G55" i="40"/>
  <c r="H55" i="40" s="1"/>
  <c r="M54" i="40"/>
  <c r="N54" i="40" s="1"/>
  <c r="M55" i="40"/>
  <c r="N55" i="40" s="1"/>
  <c r="P54" i="40"/>
  <c r="Q54" i="40" s="1"/>
  <c r="P55" i="40"/>
  <c r="Q55" i="40" s="1"/>
  <c r="J54" i="40"/>
  <c r="K54" i="40" s="1"/>
  <c r="J55" i="40"/>
  <c r="K55" i="40" s="1"/>
  <c r="G52" i="40"/>
  <c r="H52" i="40" s="1"/>
  <c r="G53" i="40"/>
  <c r="H53" i="40" s="1"/>
  <c r="P52" i="40"/>
  <c r="Q52" i="40" s="1"/>
  <c r="P53" i="40"/>
  <c r="Q53" i="40" s="1"/>
  <c r="J52" i="40"/>
  <c r="K52" i="40" s="1"/>
  <c r="J53" i="40"/>
  <c r="K53" i="40" s="1"/>
  <c r="M52" i="40"/>
  <c r="N52" i="40" s="1"/>
  <c r="M53" i="40"/>
  <c r="N53" i="40" s="1"/>
  <c r="M50" i="40"/>
  <c r="N50" i="40" s="1"/>
  <c r="M51" i="40"/>
  <c r="N51" i="40" s="1"/>
  <c r="P50" i="40"/>
  <c r="Q50" i="40" s="1"/>
  <c r="P51" i="40"/>
  <c r="Q51" i="40" s="1"/>
  <c r="G50" i="40"/>
  <c r="H50" i="40" s="1"/>
  <c r="G51" i="40"/>
  <c r="H51" i="40" s="1"/>
  <c r="J50" i="40"/>
  <c r="K50" i="40" s="1"/>
  <c r="J51" i="40"/>
  <c r="K51" i="40" s="1"/>
  <c r="G48" i="40"/>
  <c r="H48" i="40" s="1"/>
  <c r="G49" i="40"/>
  <c r="H49" i="40" s="1"/>
  <c r="J48" i="40"/>
  <c r="K48" i="40" s="1"/>
  <c r="J49" i="40"/>
  <c r="K49" i="40" s="1"/>
  <c r="M48" i="40"/>
  <c r="N48" i="40" s="1"/>
  <c r="M49" i="40"/>
  <c r="N49" i="40" s="1"/>
  <c r="P48" i="40"/>
  <c r="Q48" i="40" s="1"/>
  <c r="P49" i="40"/>
  <c r="Q49" i="40" s="1"/>
  <c r="M46" i="40"/>
  <c r="N46" i="40" s="1"/>
  <c r="M47" i="40"/>
  <c r="N47" i="40" s="1"/>
  <c r="G46" i="40"/>
  <c r="H46" i="40" s="1"/>
  <c r="G47" i="40"/>
  <c r="H47" i="40" s="1"/>
  <c r="J46" i="40"/>
  <c r="K46" i="40" s="1"/>
  <c r="J47" i="40"/>
  <c r="K47" i="40" s="1"/>
  <c r="P46" i="40"/>
  <c r="Q46" i="40" s="1"/>
  <c r="P47" i="40"/>
  <c r="Q47" i="40" s="1"/>
  <c r="G44" i="40"/>
  <c r="H44" i="40" s="1"/>
  <c r="G45" i="40"/>
  <c r="H45" i="40" s="1"/>
  <c r="J44" i="40"/>
  <c r="K44" i="40" s="1"/>
  <c r="J45" i="40"/>
  <c r="K45" i="40" s="1"/>
  <c r="M44" i="40"/>
  <c r="N44" i="40" s="1"/>
  <c r="M45" i="40"/>
  <c r="N45" i="40" s="1"/>
  <c r="P44" i="40"/>
  <c r="Q44" i="40" s="1"/>
  <c r="P45" i="40"/>
  <c r="Q45" i="40" s="1"/>
  <c r="P42" i="40"/>
  <c r="Q42" i="40" s="1"/>
  <c r="P43" i="40"/>
  <c r="Q43" i="40" s="1"/>
  <c r="G42" i="40"/>
  <c r="H42" i="40" s="1"/>
  <c r="G43" i="40"/>
  <c r="H43" i="40" s="1"/>
  <c r="J42" i="40"/>
  <c r="K42" i="40" s="1"/>
  <c r="J43" i="40"/>
  <c r="K43" i="40" s="1"/>
  <c r="M42" i="40"/>
  <c r="N42" i="40" s="1"/>
  <c r="M43" i="40"/>
  <c r="N43" i="40" s="1"/>
  <c r="G40" i="40"/>
  <c r="H40" i="40" s="1"/>
  <c r="G41" i="40"/>
  <c r="H41" i="40" s="1"/>
  <c r="J40" i="40"/>
  <c r="K40" i="40" s="1"/>
  <c r="J41" i="40"/>
  <c r="K41" i="40" s="1"/>
  <c r="M40" i="40"/>
  <c r="N40" i="40" s="1"/>
  <c r="M41" i="40"/>
  <c r="N41" i="40" s="1"/>
  <c r="P40" i="40"/>
  <c r="Q40" i="40" s="1"/>
  <c r="P41" i="40"/>
  <c r="Q41" i="40" s="1"/>
  <c r="G38" i="40"/>
  <c r="H38" i="40" s="1"/>
  <c r="G39" i="40"/>
  <c r="H39" i="40" s="1"/>
  <c r="J38" i="40"/>
  <c r="K38" i="40" s="1"/>
  <c r="J39" i="40"/>
  <c r="K39" i="40" s="1"/>
  <c r="M38" i="40"/>
  <c r="N38" i="40" s="1"/>
  <c r="M39" i="40"/>
  <c r="N39" i="40" s="1"/>
  <c r="P38" i="40"/>
  <c r="Q38" i="40" s="1"/>
  <c r="P39" i="40"/>
  <c r="Q39" i="40" s="1"/>
  <c r="G36" i="40"/>
  <c r="H36" i="40" s="1"/>
  <c r="G37" i="40"/>
  <c r="H37" i="40" s="1"/>
  <c r="J36" i="40"/>
  <c r="K36" i="40" s="1"/>
  <c r="J37" i="40"/>
  <c r="K37" i="40" s="1"/>
  <c r="M36" i="40"/>
  <c r="N36" i="40" s="1"/>
  <c r="M37" i="40"/>
  <c r="N37" i="40" s="1"/>
  <c r="P36" i="40"/>
  <c r="Q36" i="40" s="1"/>
  <c r="P37" i="40"/>
  <c r="Q37" i="40" s="1"/>
  <c r="M34" i="40"/>
  <c r="N34" i="40" s="1"/>
  <c r="M35" i="40"/>
  <c r="N35" i="40" s="1"/>
  <c r="P34" i="40"/>
  <c r="Q34" i="40" s="1"/>
  <c r="P35" i="40"/>
  <c r="Q35" i="40" s="1"/>
  <c r="G34" i="40"/>
  <c r="H34" i="40" s="1"/>
  <c r="G35" i="40"/>
  <c r="H35" i="40" s="1"/>
  <c r="J34" i="40"/>
  <c r="K34" i="40" s="1"/>
  <c r="J35" i="40"/>
  <c r="K35" i="40" s="1"/>
  <c r="P33" i="40"/>
  <c r="Q33" i="40" s="1"/>
  <c r="J33" i="40"/>
  <c r="K33" i="40" s="1"/>
  <c r="G33" i="40"/>
  <c r="H33" i="40" s="1"/>
  <c r="M33" i="40"/>
  <c r="N33" i="40" s="1"/>
  <c r="J30" i="40"/>
  <c r="K30" i="40" s="1"/>
  <c r="J31" i="40"/>
  <c r="K31" i="40" s="1"/>
  <c r="G30" i="40"/>
  <c r="H30" i="40" s="1"/>
  <c r="G31" i="40"/>
  <c r="H31" i="40" s="1"/>
  <c r="M30" i="40"/>
  <c r="N30" i="40" s="1"/>
  <c r="M31" i="40"/>
  <c r="N31" i="40" s="1"/>
  <c r="P30" i="40"/>
  <c r="Q30" i="40" s="1"/>
  <c r="P31" i="40"/>
  <c r="Q31" i="40" s="1"/>
  <c r="M28" i="40"/>
  <c r="N28" i="40" s="1"/>
  <c r="M29" i="40"/>
  <c r="N29" i="40" s="1"/>
  <c r="P28" i="40"/>
  <c r="Q28" i="40" s="1"/>
  <c r="P29" i="40"/>
  <c r="Q29" i="40" s="1"/>
  <c r="G28" i="40"/>
  <c r="H28" i="40" s="1"/>
  <c r="G29" i="40"/>
  <c r="H29" i="40" s="1"/>
  <c r="J28" i="40"/>
  <c r="K28" i="40" s="1"/>
  <c r="J29" i="40"/>
  <c r="K29" i="40" s="1"/>
  <c r="M26" i="40"/>
  <c r="N26" i="40" s="1"/>
  <c r="M27" i="40"/>
  <c r="N27" i="40" s="1"/>
  <c r="P26" i="40"/>
  <c r="Q26" i="40" s="1"/>
  <c r="P27" i="40"/>
  <c r="Q27" i="40" s="1"/>
  <c r="G26" i="40"/>
  <c r="H26" i="40" s="1"/>
  <c r="G27" i="40"/>
  <c r="H27" i="40" s="1"/>
  <c r="J26" i="40"/>
  <c r="K26" i="40" s="1"/>
  <c r="J27" i="40"/>
  <c r="K27" i="40" s="1"/>
  <c r="P24" i="40"/>
  <c r="Q24" i="40" s="1"/>
  <c r="P25" i="40"/>
  <c r="Q25" i="40" s="1"/>
  <c r="J24" i="40"/>
  <c r="K24" i="40" s="1"/>
  <c r="J25" i="40"/>
  <c r="K25" i="40" s="1"/>
  <c r="G24" i="40"/>
  <c r="H24" i="40" s="1"/>
  <c r="G25" i="40"/>
  <c r="H25" i="40" s="1"/>
  <c r="M24" i="40"/>
  <c r="N24" i="40" s="1"/>
  <c r="M25" i="40"/>
  <c r="N25" i="40" s="1"/>
  <c r="G21" i="40"/>
  <c r="H21" i="40" s="1"/>
  <c r="G22" i="40"/>
  <c r="H22" i="40" s="1"/>
  <c r="J21" i="40"/>
  <c r="K21" i="40" s="1"/>
  <c r="J22" i="40"/>
  <c r="K22" i="40" s="1"/>
  <c r="M21" i="40"/>
  <c r="N21" i="40" s="1"/>
  <c r="M22" i="40"/>
  <c r="N22" i="40" s="1"/>
  <c r="P21" i="40"/>
  <c r="Q21" i="40" s="1"/>
  <c r="P22" i="40"/>
  <c r="Q22" i="40" s="1"/>
  <c r="J19" i="40"/>
  <c r="K19" i="40" s="1"/>
  <c r="J20" i="40"/>
  <c r="K20" i="40" s="1"/>
  <c r="G19" i="40"/>
  <c r="H19" i="40" s="1"/>
  <c r="G20" i="40"/>
  <c r="H20" i="40" s="1"/>
  <c r="M19" i="40"/>
  <c r="N19" i="40" s="1"/>
  <c r="M20" i="40"/>
  <c r="N20" i="40" s="1"/>
  <c r="P19" i="40"/>
  <c r="Q19" i="40" s="1"/>
  <c r="P20" i="40"/>
  <c r="Q20" i="40" s="1"/>
  <c r="J17" i="40"/>
  <c r="K17" i="40" s="1"/>
  <c r="J18" i="40"/>
  <c r="K18" i="40" s="1"/>
  <c r="G17" i="40"/>
  <c r="H17" i="40" s="1"/>
  <c r="G18" i="40"/>
  <c r="H18" i="40" s="1"/>
  <c r="M17" i="40"/>
  <c r="N17" i="40" s="1"/>
  <c r="M18" i="40"/>
  <c r="N18" i="40" s="1"/>
  <c r="P17" i="40"/>
  <c r="Q17" i="40" s="1"/>
  <c r="P18" i="40"/>
  <c r="Q18" i="40" s="1"/>
  <c r="P15" i="40"/>
  <c r="Q15" i="40" s="1"/>
  <c r="P16" i="40"/>
  <c r="Q16" i="40" s="1"/>
  <c r="G15" i="40"/>
  <c r="H15" i="40" s="1"/>
  <c r="G16" i="40"/>
  <c r="H16" i="40" s="1"/>
  <c r="J15" i="40"/>
  <c r="K15" i="40" s="1"/>
  <c r="J16" i="40"/>
  <c r="K16" i="40" s="1"/>
  <c r="M15" i="40"/>
  <c r="N15" i="40" s="1"/>
  <c r="M16" i="40"/>
  <c r="N16"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32" i="40" s="1"/>
  <c r="T32" i="40" s="1"/>
  <c r="R32" i="40" s="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M32" i="40" l="1"/>
  <c r="N32" i="40" s="1"/>
  <c r="G32" i="40"/>
  <c r="H32" i="40" s="1"/>
  <c r="S60" i="40"/>
  <c r="J32" i="40"/>
  <c r="K32" i="40" s="1"/>
  <c r="P32" i="40"/>
  <c r="Q32" i="40" s="1"/>
  <c r="S61" i="40"/>
  <c r="S59" i="40"/>
  <c r="S58" i="40"/>
  <c r="S56" i="40"/>
  <c r="S54" i="40"/>
  <c r="S57" i="40"/>
  <c r="S55" i="40"/>
  <c r="S52" i="40"/>
  <c r="S53" i="40"/>
  <c r="S50" i="40"/>
  <c r="S51" i="40"/>
  <c r="S48" i="40"/>
  <c r="S49" i="40"/>
  <c r="S47" i="40"/>
  <c r="S46" i="40"/>
  <c r="S40" i="40"/>
  <c r="S42" i="40"/>
  <c r="S44" i="40"/>
  <c r="S45" i="40"/>
  <c r="S43" i="40"/>
  <c r="S41" i="40"/>
  <c r="S38" i="40"/>
  <c r="S39" i="40"/>
  <c r="S37" i="40"/>
  <c r="S36" i="40"/>
  <c r="S35" i="40"/>
  <c r="S34" i="40"/>
  <c r="S33" i="40"/>
  <c r="S32" i="40"/>
  <c r="S31" i="40"/>
  <c r="S30" i="40"/>
  <c r="S24" i="40"/>
  <c r="F41" i="41" s="1"/>
  <c r="S29" i="40"/>
  <c r="S28" i="40"/>
  <c r="S27" i="40"/>
  <c r="S26" i="40"/>
  <c r="S19" i="40"/>
  <c r="S25" i="40"/>
  <c r="S22" i="40"/>
  <c r="S21" i="40"/>
  <c r="S17" i="40"/>
  <c r="S20" i="40"/>
  <c r="S15" i="40"/>
  <c r="S18" i="40"/>
  <c r="S16" i="40"/>
  <c r="R13" i="39"/>
  <c r="P13" i="39" s="1"/>
  <c r="T14" i="40"/>
  <c r="M14" i="40" s="1"/>
  <c r="N14" i="40" s="1"/>
  <c r="H16" i="55"/>
  <c r="J13" i="71"/>
  <c r="I13" i="71" s="1"/>
  <c r="I13" i="26"/>
  <c r="I13" i="70"/>
  <c r="F8" i="55"/>
  <c r="I14" i="26"/>
  <c r="H14" i="26" s="1"/>
  <c r="I14" i="70"/>
  <c r="H14" i="70" s="1"/>
  <c r="J14" i="71"/>
  <c r="T13" i="40"/>
  <c r="G5" i="55" l="1"/>
  <c r="G8" i="55"/>
  <c r="I17" i="41"/>
  <c r="J14" i="40"/>
  <c r="K14" i="40" s="1"/>
  <c r="R14" i="40"/>
  <c r="P14" i="40"/>
  <c r="Q14" i="40" s="1"/>
  <c r="G14" i="40"/>
  <c r="H14" i="40" s="1"/>
  <c r="O13" i="39"/>
  <c r="Q13" i="39" s="1"/>
  <c r="I20" i="41"/>
  <c r="I21" i="41"/>
  <c r="I23" i="41"/>
  <c r="I14" i="71"/>
  <c r="C4" i="71" s="1"/>
  <c r="C9" i="55"/>
  <c r="C8" i="55"/>
  <c r="F40" i="41"/>
  <c r="F36" i="41"/>
  <c r="F39" i="41"/>
  <c r="F30" i="41"/>
  <c r="F37" i="41"/>
  <c r="F34" i="41"/>
  <c r="F35" i="41"/>
  <c r="F32" i="41"/>
  <c r="F38" i="41"/>
  <c r="F33" i="41"/>
  <c r="H13" i="26"/>
  <c r="C4" i="26" s="1"/>
  <c r="B4" i="74"/>
  <c r="B6" i="74"/>
  <c r="H13" i="70"/>
  <c r="C4" i="70" s="1"/>
  <c r="J48" i="41" s="1"/>
  <c r="B5" i="74"/>
  <c r="B2" i="74"/>
  <c r="F5" i="55"/>
  <c r="F6" i="55"/>
  <c r="E7" i="40"/>
  <c r="R13" i="40"/>
  <c r="E6" i="40"/>
  <c r="N13" i="40"/>
  <c r="D7" i="40" s="1"/>
  <c r="H13" i="40"/>
  <c r="M13" i="40"/>
  <c r="G13" i="40"/>
  <c r="E5" i="40"/>
  <c r="Q13" i="40"/>
  <c r="J13" i="40"/>
  <c r="E8" i="40"/>
  <c r="K13" i="40"/>
  <c r="P13" i="40"/>
  <c r="S13" i="40"/>
  <c r="C7" i="55" s="1"/>
  <c r="G10" i="55" l="1"/>
  <c r="S14" i="40"/>
  <c r="F31" i="41" s="1"/>
  <c r="C6" i="55"/>
  <c r="D6" i="40"/>
  <c r="D5" i="40"/>
  <c r="D8" i="40"/>
  <c r="E7" i="55"/>
  <c r="C23" i="55"/>
  <c r="E23" i="55"/>
  <c r="G23"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I7" i="55" s="1"/>
  <c r="D8" i="55"/>
  <c r="E9" i="55"/>
  <c r="E8" i="55"/>
  <c r="D9" i="55"/>
  <c r="F29" i="41"/>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7" i="41"/>
  <c r="F28" i="41"/>
  <c r="C5" i="55"/>
  <c r="E9" i="40"/>
  <c r="D9" i="40"/>
  <c r="D17" i="41" s="1"/>
  <c r="L41" i="41" l="1"/>
  <c r="L40" i="41"/>
  <c r="L39" i="41"/>
  <c r="L38" i="41"/>
  <c r="L37" i="41"/>
  <c r="L36" i="41"/>
  <c r="L33" i="41"/>
  <c r="L34" i="41"/>
  <c r="L35" i="41"/>
  <c r="L32" i="41"/>
  <c r="L31" i="41"/>
  <c r="L30" i="41"/>
  <c r="I9" i="55"/>
  <c r="I8" i="55"/>
  <c r="H32" i="55"/>
  <c r="H28" i="55"/>
  <c r="H31" i="55"/>
  <c r="H27" i="55"/>
  <c r="H34" i="55"/>
  <c r="H30" i="55"/>
  <c r="H26" i="55"/>
  <c r="H33" i="55"/>
  <c r="H29" i="55"/>
  <c r="H25"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E77" i="55"/>
  <c r="G77" i="55"/>
  <c r="F77" i="55"/>
  <c r="C10" i="55"/>
  <c r="G17" i="55" l="1"/>
  <c r="C17" i="55"/>
  <c r="F17" i="55"/>
  <c r="K27" i="41"/>
  <c r="H15" i="55" s="1"/>
  <c r="H17" i="55" s="1"/>
  <c r="D10" i="39"/>
  <c r="D22" i="41" s="1"/>
  <c r="H5" i="55"/>
  <c r="H10" i="55" s="1"/>
  <c r="R14" i="39"/>
  <c r="I19" i="41" l="1"/>
  <c r="F4" i="39"/>
  <c r="O14" i="39"/>
  <c r="F6" i="39"/>
  <c r="B3" i="74"/>
  <c r="I18" i="41"/>
  <c r="P14" i="39"/>
  <c r="I22" i="41"/>
  <c r="H28" i="41" l="1"/>
  <c r="H29" i="41"/>
  <c r="G29" i="41"/>
  <c r="D24" i="55"/>
  <c r="H24" i="55" s="1"/>
  <c r="D4" i="39"/>
  <c r="G28" i="41"/>
  <c r="D23" i="55"/>
  <c r="H23" i="55" s="1"/>
  <c r="E6" i="55"/>
  <c r="D5" i="39"/>
  <c r="F8" i="39"/>
  <c r="D6" i="55"/>
  <c r="D22" i="55"/>
  <c r="D9" i="39"/>
  <c r="D19" i="41" s="1"/>
  <c r="E5" i="55"/>
  <c r="H27" i="41"/>
  <c r="D7" i="39"/>
  <c r="D5" i="55"/>
  <c r="C22" i="55"/>
  <c r="Q14" i="39"/>
  <c r="G27" i="41"/>
  <c r="D8" i="39"/>
  <c r="D6" i="39"/>
  <c r="D77" i="55" l="1"/>
  <c r="L28" i="41"/>
  <c r="L29" i="41"/>
  <c r="E4" i="39"/>
  <c r="E10" i="55"/>
  <c r="I6" i="55"/>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<sst xmlns="http://schemas.openxmlformats.org/spreadsheetml/2006/main" count="835" uniqueCount="394">
  <si>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</si>
  <si>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</si>
  <si>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</si>
  <si>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</si>
  <si>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</si>
  <si>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</si>
  <si>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</si>
  <si>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</si>
  <si>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</si>
  <si>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</si>
  <si>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</si>
  <si>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</si>
  <si>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</si>
  <si>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</si>
  <si>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</si>
  <si>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</si>
  <si>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</si>
  <si>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</si>
  <si>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</si>
  <si>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</si>
  <si>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</si>
  <si>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</si>
  <si>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</si>
  <si>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</si>
  <si>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</si>
  <si>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</si>
  <si>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</si>
  <si>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</si>
  <si>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</si>
  <si>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</si>
  <si>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</si>
  <si>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</si>
  <si>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</si>
  <si>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</si>
  <si>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</si>
  <si>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</si>
  <si>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</si>
  <si>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</si>
  <si>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</si>
  <si>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</si>
  <si>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</si>
  <si>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</si>
  <si>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</si>
  <si>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</si>
  <si>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</si>
  <si>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</si>
  <si>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</si>
  <si>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</si>
  <si>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</si>
  <si>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</si>
  <si>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</si>
  <si>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</si>
  <si>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</si>
  <si>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</si>
  <si>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</si>
  <si>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</si>
  <si>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</si>
  <si>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</si>
  <si>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</si>
  <si>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</si>
  <si>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</si>
  <si>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</si>
  <si>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</si>
  <si>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</si>
  <si>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</si>
  <si>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</si>
  <si>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</si>
  <si>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</si>
  <si>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</si>
  <si>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</si>
  <si>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</si>
  <si>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</si>
  <si>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</si>
  <si>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</si>
  <si>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</si>
  <si>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</si>
  <si>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</si>
  <si>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</si>
  <si>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</si>
  <si>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</si>
  <si>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</si>
  <si>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</si>
  <si>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</si>
  <si>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</si>
  <si>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</si>
  <si>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</si>
  <si>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</si>
  <si>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</si>
  <si>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</si>
  <si>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</si>
  <si>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</si>
  <si>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</si>
  <si>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</si>
  <si>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</si>
  <si>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</si>
  <si>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</si>
  <si>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</si>
  <si>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</si>
  <si>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</si>
  <si>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</si>
  <si>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</si>
  <si>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</si>
  <si>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</si>
  <si>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</si>
  <si>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</si>
  <si>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</si>
  <si>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</si>
  <si>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</si>
  <si>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</si>
  <si>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</si>
  <si>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</si>
  <si>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</si>
  <si>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</si>
  <si>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</si>
  <si>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</si>
  <si>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</si>
  <si>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</si>
  <si>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</si>
  <si>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</si>
  <si>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</si>
  <si>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</si>
  <si>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</si>
  <si>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</si>
  <si>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</si>
  <si>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</si>
  <si>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</si>
  <si>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</si>
  <si>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</si>
  <si>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</si>
  <si>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</si>
  <si>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</si>
  <si>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</si>
  <si>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</si>
  <si>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</si>
  <si>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</si>
  <si>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</si>
  <si>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</si>
  <si>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</si>
  <si>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</si>
  <si>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</si>
  <si>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</si>
  <si>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</si>
  <si>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</si>
  <si>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</si>
  <si>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</si>
  <si>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</si>
  <si>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</si>
  <si>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</si>
  <si>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</si>
  <si>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</si>
  <si>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</si>
  <si>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</si>
  <si>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</si>
  <si>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</si>
  <si>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</si>
  <si>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</si>
  <si>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</si>
  <si>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</si>
  <si>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</si>
  <si>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</si>
  <si>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</si>
  <si>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</si>
  <si>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</si>
  <si>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</si>
  <si>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</si>
  <si>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</si>
  <si>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</si>
  <si>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</si>
  <si>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</si>
  <si>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</si>
  <si>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</si>
  <si>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</si>
  <si>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</si>
  <si>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</si>
  <si>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</si>
  <si>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</si>
  <si>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</si>
  <si>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</si>
  <si>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</si>
  <si>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</si>
  <si>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</si>
  <si>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</si>
  <si>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</si>
  <si>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</si>
  <si>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</si>
  <si>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</si>
  <si>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</si>
  <si>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</si>
  <si>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</si>
  <si>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</si>
  <si>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</si>
  <si>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</si>
  <si>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</si>
  <si>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</si>
  <si>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</si>
  <si>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</si>
  <si>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</si>
  <si>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</si>
  <si>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</si>
  <si>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</si>
  <si>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</si>
  <si>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</si>
  <si>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</si>
  <si>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</si>
  <si>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</si>
  <si>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</si>
  <si>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</si>
  <si>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</si>
  <si>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</si>
  <si>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</si>
  <si>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</si>
  <si>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</si>
  <si>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</si>
  <si>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</si>
  <si>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</si>
  <si>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</si>
  <si>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</si>
  <si>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</si>
  <si>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</si>
  <si>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</si>
  <si>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</si>
  <si>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</si>
  <si>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</si>
  <si>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</si>
  <si>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</si>
  <si>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</si>
  <si>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</si>
  <si>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</si>
  <si>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</si>
  <si>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</si>
  <si>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</si>
  <si>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</si>
  <si>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</si>
  <si>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</si>
  <si>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</si>
  <si>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</si>
  <si>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</si>
  <si>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</si>
  <si>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</si>
  <si>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</si>
  <si>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</si>
  <si>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</si>
  <si>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</si>
  <si>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</si>
  <si>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</si>
  <si>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</si>
  <si>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</si>
  <si>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</si>
  <si>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</si>
  <si>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</si>
  <si>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</si>
  <si>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</si>
  <si>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</si>
  <si>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</si>
  <si>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</si>
  <si>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</si>
  <si>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</si>
  <si>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</si>
  <si>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</si>
  <si>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</si>
  <si>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</si>
  <si>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</si>
  <si>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</si>
  <si>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</si>
  <si>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</si>
  <si>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</si>
  <si>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</si>
  <si>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</si>
  <si>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</si>
  <si>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</si>
  <si>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</si>
  <si>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</si>
  <si>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</si>
  <si>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</si>
  <si>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</si>
  <si>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</si>
  <si>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</si>
  <si>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</si>
  <si>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</si>
  <si>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</si>
  <si>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</si>
  <si>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</si>
  <si>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</si>
  <si>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</si>
  <si>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</si>
  <si>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</si>
  <si>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</si>
  <si>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</si>
  <si>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</si>
  <si>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</si>
  <si>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</si>
  <si>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</si>
  <si>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</si>
  <si>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</si>
  <si>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</si>
  <si>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</si>
  <si>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</si>
  <si>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</si>
  <si>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</si>
  <si>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</si>
  <si>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</si>
  <si>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</si>
  <si>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</si>
  <si>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</si>
  <si>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</si>
  <si>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</si>
  <si>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</si>
  <si>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</si>
  <si>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</si>
  <si>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</si>
  <si>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</si>
  <si>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</si>
  <si>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</si>
  <si>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</si>
  <si>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</si>
  <si>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</si>
  <si>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</si>
  <si>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</si>
  <si>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</si>
  <si>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</si>
  <si>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</si>
  <si>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</si>
  <si>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</si>
  <si>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</si>
  <si>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</si>
  <si>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</si>
  <si>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</si>
  <si>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</si>
  <si>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</si>
  <si>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</si>
  <si>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</si>
  <si>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</si>
  <si>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</si>
  <si>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</si>
  <si>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</si>
  <si>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</si>
  <si>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</si>
  <si>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</si>
  <si>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</si>
  <si>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</si>
  <si>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</si>
  <si>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</si>
  <si>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</si>
  <si>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</si>
  <si>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</si>
  <si>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</si>
  <si>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</si>
  <si>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</si>
  <si>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</si>
  <si>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</si>
  <si>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</si>
  <si>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</si>
  <si>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</si>
  <si>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</si>
  <si>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</si>
  <si>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</si>
  <si>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</si>
  <si>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</si>
  <si>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</si>
  <si>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</si>
  <si>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Structural Project</t>
  </si>
  <si>
    <t>StartUp</t>
  </si>
  <si>
    <t>FifthElement</t>
  </si>
  <si>
    <t>Univerzitet u Nisu</t>
  </si>
  <si>
    <t>Privredna komora Srbije</t>
  </si>
  <si>
    <t>Drustvo za akedmski razvoj (DAR)</t>
  </si>
  <si>
    <t>Ministarstvo prosvete, nauke I tehnoloskog razvoja</t>
  </si>
  <si>
    <t>University of Helsinki</t>
  </si>
  <si>
    <t>Radboud University</t>
  </si>
  <si>
    <t>Universidad de Salamanca</t>
  </si>
  <si>
    <t>University of Vienna</t>
  </si>
  <si>
    <t>Stockholm University</t>
  </si>
  <si>
    <t>IMEC</t>
  </si>
  <si>
    <t>EdukaMont</t>
  </si>
  <si>
    <t>Enterprise Ireland</t>
  </si>
  <si>
    <t>Uniwersytet Warszawski</t>
  </si>
  <si>
    <t>InterSoft Education</t>
  </si>
  <si>
    <t>30 laptopova (AMD Renoir Ryzen 7 4700U, 8C/8T, 1 TB M.2 PCIe x4 SSD, AMD Radeon Vega 7, 7 CUs, 1.6 GHz)</t>
  </si>
  <si>
    <t>Ostatak opreme neophodne za razvijanje softvera.</t>
  </si>
  <si>
    <t>Propratni materijal seminara</t>
  </si>
  <si>
    <t xml:space="preserve">Prijavljeno osoblje koje će na lokalu učestvovati u diseminaciji projekta, osobe zadužene za izradu televizijskih reklama </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</si>
  <si>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</si>
  <si>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</si>
  <si>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</si>
  <si>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Finansira troškove pripreme materijala za seminar</t>
  </si>
  <si>
    <t>Nordea Bank</t>
  </si>
  <si>
    <t>Potrebna sredstva za: pripremu materijala za seminar (3 dana x 10 sati x 50 osoba x 25 eura)</t>
  </si>
  <si>
    <t>Finansira troškove putovanja i odsedanja</t>
  </si>
  <si>
    <t>KBC Bank</t>
  </si>
  <si>
    <t>Potrebna sredstva za: troškove putovanja i odsedanja za dodatno osoblje (3 dana x 25 osoba x 500 eura)</t>
  </si>
  <si>
    <t>Allied Irish Banks (AIB)</t>
  </si>
  <si>
    <t>Potrebna sredstva za implementaciju i razvoj softvera.</t>
  </si>
  <si>
    <t>Beograd</t>
  </si>
  <si>
    <t>Amsterdam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</si>
</sst>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20" fillId="0" borderId="0" xfId="0" applyFont="1" applyAlignment="1">
      <alignment vertical="center"/>
    </xf>
    <xf numFmtId="0" fontId="19" fillId="0" borderId="0" xfId="0" applyFont="1" applyAlignment="1">
      <alignment horizontal="left" vertical="center" wrapText="1"/>
    </xf>
    <xf numFmtId="0" fontId="26" fillId="0" borderId="0" xfId="2" applyFont="1" applyAlignment="1" applyProtection="1">
      <alignment vertical="center"/>
    </xf>
    <xf numFmtId="0" fontId="20" fillId="0" borderId="0" xfId="0" applyFont="1"/>
    <xf numFmtId="0" fontId="27" fillId="0" borderId="0" xfId="4" applyFont="1" applyBorder="1" applyAlignment="1" applyProtection="1">
      <alignment vertical="center"/>
    </xf>
    <xf numFmtId="0" fontId="29" fillId="0" borderId="0" xfId="0" applyFont="1" applyAlignment="1">
      <alignment horizontal="left" vertical="center"/>
    </xf>
    <xf numFmtId="0" fontId="29" fillId="0" borderId="0" xfId="0" applyFont="1" applyAlignment="1">
      <alignment vertical="center"/>
    </xf>
    <xf numFmtId="0" fontId="28" fillId="3" borderId="1" xfId="0" applyFont="1" applyFill="1" applyBorder="1" applyAlignment="1">
      <alignment horizontal="center" vertical="center"/>
    </xf>
    <xf numFmtId="0" fontId="28" fillId="3" borderId="1" xfId="0" applyFont="1" applyFill="1" applyBorder="1" applyAlignment="1">
      <alignment horizontal="center" vertical="center" wrapText="1"/>
    </xf>
    <xf numFmtId="0" fontId="20" fillId="7" borderId="1" xfId="0" applyFont="1" applyFill="1" applyBorder="1"/>
    <xf numFmtId="4" fontId="20" fillId="7" borderId="1" xfId="0" applyNumberFormat="1" applyFont="1" applyFill="1" applyBorder="1"/>
    <xf numFmtId="0" fontId="20" fillId="6" borderId="1" xfId="0" applyFont="1" applyFill="1" applyBorder="1"/>
    <xf numFmtId="1" fontId="20" fillId="0" borderId="1" xfId="0" applyNumberFormat="1" applyFont="1" applyBorder="1" applyAlignment="1">
      <alignment horizontal="center" vertical="center"/>
    </xf>
    <xf numFmtId="4" fontId="20" fillId="0" borderId="0" xfId="0" applyNumberFormat="1" applyFont="1"/>
    <xf numFmtId="0" fontId="31" fillId="0" borderId="0" xfId="0" applyFont="1" applyAlignment="1">
      <alignment horizontal="center" vertical="center"/>
    </xf>
    <xf numFmtId="0" fontId="32" fillId="0" borderId="0" xfId="0" applyFont="1" applyAlignment="1">
      <alignment vertical="center"/>
    </xf>
    <xf numFmtId="0" fontId="32" fillId="0" borderId="0" xfId="0" applyFont="1"/>
    <xf numFmtId="4" fontId="20" fillId="2" borderId="1" xfId="0" applyNumberFormat="1" applyFont="1" applyFill="1" applyBorder="1"/>
    <xf numFmtId="4" fontId="20" fillId="8" borderId="1" xfId="0" applyNumberFormat="1" applyFont="1" applyFill="1" applyBorder="1" applyAlignment="1">
      <alignment horizontal="right"/>
    </xf>
    <xf numFmtId="4" fontId="20" fillId="6" borderId="1" xfId="0" applyNumberFormat="1" applyFont="1" applyFill="1" applyBorder="1"/>
    <xf numFmtId="1" fontId="20" fillId="0" borderId="12" xfId="0" applyNumberFormat="1" applyFont="1" applyBorder="1" applyAlignment="1">
      <alignment horizontal="center" vertical="center"/>
    </xf>
    <xf numFmtId="4" fontId="20" fillId="6" borderId="1" xfId="0" applyNumberFormat="1" applyFont="1" applyFill="1" applyBorder="1" applyAlignment="1">
      <alignment horizontal="right"/>
    </xf>
    <xf numFmtId="1" fontId="20"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5"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1" fillId="0" borderId="0" xfId="0" applyFont="1" applyAlignment="1">
      <alignment horizontal="left" vertical="center" wrapText="1"/>
    </xf>
    <xf numFmtId="0" fontId="21" fillId="0" borderId="0" xfId="0" applyFont="1" applyAlignment="1">
      <alignment horizontal="left" vertical="center"/>
    </xf>
    <xf numFmtId="0" fontId="8" fillId="3" borderId="1" xfId="0" applyFont="1" applyFill="1" applyBorder="1" applyAlignment="1">
      <alignment horizontal="center" vertical="center"/>
    </xf>
    <xf numFmtId="0" fontId="28" fillId="3" borderId="2" xfId="0" applyFont="1" applyFill="1" applyBorder="1" applyAlignment="1">
      <alignment horizontal="center" vertical="center" wrapText="1"/>
    </xf>
    <xf numFmtId="0" fontId="28" fillId="3" borderId="13" xfId="0" applyFont="1" applyFill="1" applyBorder="1" applyAlignment="1">
      <alignment horizontal="center" vertical="center"/>
    </xf>
    <xf numFmtId="0" fontId="28" fillId="3" borderId="14" xfId="0" applyFont="1" applyFill="1" applyBorder="1" applyAlignment="1">
      <alignment horizontal="center" vertical="center" wrapText="1"/>
    </xf>
    <xf numFmtId="0" fontId="28" fillId="3" borderId="4" xfId="0" applyFont="1" applyFill="1" applyBorder="1" applyAlignment="1">
      <alignment horizontal="left" vertical="center" wrapText="1" indent="1"/>
    </xf>
    <xf numFmtId="0" fontId="28" fillId="3" borderId="15" xfId="0" applyFont="1" applyFill="1" applyBorder="1" applyAlignment="1">
      <alignment horizontal="left" vertical="center" wrapText="1" indent="1"/>
    </xf>
    <xf numFmtId="0" fontId="28" fillId="3" borderId="8" xfId="0" applyFont="1" applyFill="1" applyBorder="1" applyAlignment="1">
      <alignment horizontal="left" vertical="center" wrapText="1" indent="1"/>
    </xf>
    <xf numFmtId="0" fontId="28" fillId="3" borderId="3" xfId="0" applyFont="1" applyFill="1" applyBorder="1" applyAlignment="1">
      <alignment horizontal="left" vertical="center" wrapText="1" indent="1"/>
    </xf>
    <xf numFmtId="0" fontId="28" fillId="3" borderId="6" xfId="0" applyFont="1" applyFill="1" applyBorder="1" applyAlignment="1">
      <alignment horizontal="left" vertical="center" wrapText="1" indent="1"/>
    </xf>
    <xf numFmtId="0" fontId="28" fillId="3" borderId="7" xfId="0" applyFont="1" applyFill="1" applyBorder="1" applyAlignment="1">
      <alignment horizontal="left" vertical="center" wrapText="1" indent="1"/>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200">
    <dxf>
      <fill>
        <patternFill>
          <bgColor theme="5" tint="0.79998168889431442"/>
        </patternFill>
      </fill>
    </dxf>
    <dxf>
      <fill>
        <patternFill>
          <bgColor theme="5" tint="0.79998168889431442"/>
        </patternFill>
      </fill>
    </dxf>
    <dxf>
      <fill>
        <patternFill>
          <bgColor theme="5" tint="0.799981688894314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topLeftCell="A9" zoomScale="65" zoomScaleNormal="70" zoomScaleSheetLayoutView="85" workbookViewId="0">
      <selection activeCell="D12" sqref="D12"/>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133</v>
      </c>
      <c r="E3" s="6"/>
      <c r="F3" s="4"/>
      <c r="G3" s="3"/>
      <c r="H3" s="3"/>
      <c r="I3" s="3"/>
      <c r="J3" s="3"/>
      <c r="K3" s="3"/>
      <c r="L3" s="3"/>
    </row>
    <row r="4" spans="2:12" ht="20.100000000000001" customHeight="1" x14ac:dyDescent="0.35">
      <c r="B4" s="4"/>
      <c r="C4" s="1"/>
      <c r="D4" s="5" t="s">
        <v>311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05" t="s">
        <v>355</v>
      </c>
      <c r="C7" s="105"/>
      <c r="D7" s="105"/>
      <c r="E7" s="105"/>
      <c r="F7" s="105"/>
      <c r="G7" s="105"/>
      <c r="H7" s="105"/>
      <c r="I7" s="105"/>
      <c r="J7" s="105"/>
      <c r="K7" s="105"/>
      <c r="L7" s="105"/>
    </row>
    <row r="8" spans="2:12" ht="24.9" customHeight="1" x14ac:dyDescent="0.35">
      <c r="B8" s="106" t="s">
        <v>356</v>
      </c>
      <c r="C8" s="106"/>
      <c r="D8" s="106"/>
      <c r="E8" s="106"/>
      <c r="F8" s="106"/>
      <c r="G8" s="106"/>
      <c r="H8" s="106"/>
      <c r="I8" s="106"/>
      <c r="J8" s="106"/>
      <c r="K8" s="106"/>
      <c r="L8" s="106"/>
    </row>
    <row r="9" spans="2:12" ht="24.9" customHeight="1" x14ac:dyDescent="0.35">
      <c r="B9" s="107" t="s">
        <v>130</v>
      </c>
      <c r="C9" s="107"/>
      <c r="D9" s="107"/>
      <c r="E9" s="107"/>
      <c r="F9" s="107"/>
      <c r="G9" s="107"/>
      <c r="H9" s="107"/>
      <c r="I9" s="107"/>
      <c r="J9" s="107"/>
      <c r="K9" s="107"/>
      <c r="L9" s="107"/>
    </row>
    <row r="10" spans="2:12" ht="20.100000000000001" customHeight="1" x14ac:dyDescent="0.35">
      <c r="B10" s="7"/>
      <c r="C10" s="7"/>
      <c r="D10" s="4"/>
      <c r="E10" s="4"/>
      <c r="F10" s="4"/>
      <c r="G10" s="4"/>
      <c r="H10" s="4"/>
      <c r="I10" s="4"/>
      <c r="J10" s="4"/>
      <c r="K10" s="4"/>
    </row>
    <row r="11" spans="2:12" ht="18" customHeight="1" x14ac:dyDescent="0.35">
      <c r="B11" s="99" t="s">
        <v>2</v>
      </c>
      <c r="C11" s="99"/>
      <c r="D11" s="8" t="s">
        <v>360</v>
      </c>
      <c r="E11" s="101" t="str">
        <f>IF(D11="","Please select Action Type",IF(OR(D11="Joint Project",D11="Structural Project"),"","Error Type of Action"))</f>
        <v/>
      </c>
      <c r="F11" s="101"/>
      <c r="G11" s="101"/>
      <c r="H11" s="101"/>
      <c r="I11" s="101"/>
      <c r="J11" s="101"/>
      <c r="K11" s="101"/>
      <c r="L11" s="101"/>
    </row>
    <row r="12" spans="2:12" ht="18" customHeight="1" x14ac:dyDescent="0.35">
      <c r="B12" s="99" t="s">
        <v>136</v>
      </c>
      <c r="C12" s="99"/>
      <c r="D12" s="8">
        <v>24</v>
      </c>
      <c r="E12" s="101" t="str">
        <f>IF(D12="","Please select duration",IF(OR(D12=24,D12=36),"","Error duration"))</f>
        <v/>
      </c>
      <c r="F12" s="101"/>
      <c r="G12" s="101"/>
      <c r="H12" s="101"/>
      <c r="I12" s="101"/>
      <c r="J12" s="101"/>
      <c r="K12" s="101"/>
      <c r="L12" s="101"/>
    </row>
    <row r="13" spans="2:12" ht="18" customHeight="1" x14ac:dyDescent="0.35">
      <c r="B13" s="99" t="s">
        <v>169</v>
      </c>
      <c r="C13" s="99"/>
      <c r="D13" s="8" t="s">
        <v>361</v>
      </c>
      <c r="E13" s="101" t="str">
        <f>IF(D13="","Please fill in Project Acronym","")</f>
        <v/>
      </c>
      <c r="F13" s="101"/>
      <c r="G13" s="101"/>
      <c r="H13" s="101"/>
      <c r="I13" s="101"/>
      <c r="J13" s="101"/>
      <c r="K13" s="101"/>
      <c r="L13" s="101"/>
    </row>
    <row r="14" spans="2:12" ht="18" customHeight="1" x14ac:dyDescent="0.35">
      <c r="B14" s="99" t="s">
        <v>170</v>
      </c>
      <c r="C14" s="99"/>
      <c r="D14" s="102" t="s">
        <v>361</v>
      </c>
      <c r="E14" s="103"/>
      <c r="F14" s="103"/>
      <c r="G14" s="103"/>
      <c r="H14" s="103"/>
      <c r="I14" s="103"/>
      <c r="J14" s="103"/>
      <c r="K14" s="103"/>
      <c r="L14" s="104"/>
    </row>
    <row r="15" spans="2:12" ht="20.100000000000001" customHeight="1" x14ac:dyDescent="0.35">
      <c r="B15" s="4"/>
      <c r="C15" s="4"/>
      <c r="D15" s="4"/>
      <c r="E15" s="4"/>
      <c r="F15" s="4"/>
      <c r="G15" s="4"/>
      <c r="H15" s="4"/>
      <c r="I15" s="4"/>
      <c r="J15" s="4"/>
      <c r="K15" s="4"/>
    </row>
    <row r="16" spans="2:12" ht="24.9" customHeight="1" x14ac:dyDescent="0.35">
      <c r="B16" s="100" t="s">
        <v>222</v>
      </c>
      <c r="C16" s="100"/>
      <c r="D16" s="100"/>
      <c r="E16" s="100"/>
      <c r="F16" s="100"/>
      <c r="G16" s="100"/>
      <c r="H16" s="100"/>
      <c r="I16" s="100"/>
      <c r="J16" s="100"/>
      <c r="K16" s="100"/>
      <c r="L16" s="100"/>
    </row>
    <row r="17" spans="2:12" x14ac:dyDescent="0.35">
      <c r="B17" s="99" t="s">
        <v>166</v>
      </c>
      <c r="C17" s="99"/>
      <c r="D17" s="9">
        <f>'1. Staff costs'!D9</f>
        <v>289227</v>
      </c>
      <c r="E17" s="108" t="str">
        <f>"Cannot exceed 40% of total Grant requested"</f>
        <v>Cannot exceed 40% of total Grant requested</v>
      </c>
      <c r="F17" s="109"/>
      <c r="G17" s="109"/>
      <c r="H17" s="109"/>
      <c r="I17" s="110" t="str">
        <f>IF(COUNTIF('1. Staff costs'!T:T,"Error")&lt;=1,"","Please check data in Tab '1. Staff Costs'")</f>
        <v/>
      </c>
      <c r="J17" s="110"/>
      <c r="K17" s="110"/>
      <c r="L17" s="111"/>
    </row>
    <row r="18" spans="2:12" x14ac:dyDescent="0.35">
      <c r="B18" s="99" t="s">
        <v>341</v>
      </c>
      <c r="C18" s="99"/>
      <c r="D18" s="9">
        <f>' 2-3-6. Travel&amp;Costs of Stay'!D8</f>
        <v>0</v>
      </c>
      <c r="E18" s="108"/>
      <c r="F18" s="109"/>
      <c r="G18" s="109"/>
      <c r="H18" s="109"/>
      <c r="I18" s="110" t="str">
        <f>IF(COUNTIF(' 2-3-6. Travel&amp;Costs of Stay'!R:R,"Error")&lt;=1,"","Please check data in Tab '2-3-6. Travel&amp;Costs of Stay'")</f>
        <v/>
      </c>
      <c r="J18" s="110"/>
      <c r="K18" s="110"/>
      <c r="L18" s="111"/>
    </row>
    <row r="19" spans="2:12" x14ac:dyDescent="0.35">
      <c r="B19" s="99" t="s">
        <v>187</v>
      </c>
      <c r="C19" s="99"/>
      <c r="D19" s="9">
        <f>' 2-3-6. Travel&amp;Costs of Stay'!D9</f>
        <v>660</v>
      </c>
      <c r="E19" s="118"/>
      <c r="F19" s="119"/>
      <c r="G19" s="119"/>
      <c r="H19" s="119"/>
      <c r="I19" s="110" t="str">
        <f>IF(COUNTIF(' 2-3-6. Travel&amp;Costs of Stay'!R:R,"Error")&lt;=1,"","Please check data in Tab '2-3-6. Travel&amp;Costs of Stay'")</f>
        <v/>
      </c>
      <c r="J19" s="110"/>
      <c r="K19" s="110"/>
      <c r="L19" s="111"/>
    </row>
    <row r="20" spans="2:12" x14ac:dyDescent="0.35">
      <c r="B20" s="99" t="s">
        <v>185</v>
      </c>
      <c r="C20" s="99"/>
      <c r="D20" s="9">
        <f>'4. Equipment Costs'!C4</f>
        <v>210000</v>
      </c>
      <c r="E20" s="108" t="str">
        <f>"Cannot exceed 30% of Total Grant requested"</f>
        <v>Cannot exceed 30% of Total Grant requested</v>
      </c>
      <c r="F20" s="109"/>
      <c r="G20" s="109"/>
      <c r="H20" s="109"/>
      <c r="I20" s="110" t="str">
        <f>IF(COUNTIF('4. Equipment Costs'!I:I,"Error")&lt;=1,"","Please check data in Tab '4. Equipment Costs''")</f>
        <v/>
      </c>
      <c r="J20" s="110"/>
      <c r="K20" s="110"/>
      <c r="L20" s="111"/>
    </row>
    <row r="21" spans="2:12" x14ac:dyDescent="0.35">
      <c r="B21" s="99" t="s">
        <v>186</v>
      </c>
      <c r="C21" s="99"/>
      <c r="D21" s="9">
        <f>'5. Subcontracting Costs'!C4</f>
        <v>59000</v>
      </c>
      <c r="E21" s="108" t="str">
        <f>"Cannot exceed 10% of Total Grant requested"</f>
        <v>Cannot exceed 10% of Total Grant requested</v>
      </c>
      <c r="F21" s="109"/>
      <c r="G21" s="109"/>
      <c r="H21" s="109"/>
      <c r="I21" s="110" t="str">
        <f>IF(COUNTIF('5. Subcontracting Costs'!I:I,"Error")&lt;=1,"","Please check data in Tab '5. Subcontracting Costs'")</f>
        <v/>
      </c>
      <c r="J21" s="110"/>
      <c r="K21" s="110"/>
      <c r="L21" s="111"/>
    </row>
    <row r="22" spans="2:12" x14ac:dyDescent="0.35">
      <c r="B22" s="99" t="s">
        <v>340</v>
      </c>
      <c r="C22" s="99"/>
      <c r="D22" s="9">
        <f>IF(OR(C27="",D27=""),0,' 2-3-6. Travel&amp;Costs of Stay'!D10)</f>
        <v>2400</v>
      </c>
      <c r="E22" s="108"/>
      <c r="F22" s="109"/>
      <c r="G22" s="109"/>
      <c r="H22" s="109"/>
      <c r="I22" s="110" t="str">
        <f>IF(COUNTIF(' 2-3-6. Travel&amp;Costs of Stay'!R:R,"Error")&lt;=1,"","Please check data in Tab '2-3-6. Travel&amp;Costs of Stay'")</f>
        <v/>
      </c>
      <c r="J22" s="110"/>
      <c r="K22" s="110"/>
      <c r="L22" s="111"/>
    </row>
    <row r="23" spans="2:12" ht="24.9" customHeight="1" x14ac:dyDescent="0.35">
      <c r="B23" s="112" t="s">
        <v>332</v>
      </c>
      <c r="C23" s="113"/>
      <c r="D23" s="10">
        <f>SUM(D17:D22)</f>
        <v>561287</v>
      </c>
      <c r="E23" s="114" t="str">
        <f>"Should be equal or above EUR 500.000,00 and cannot exceed EUR 1.000.000,00"</f>
        <v>Should be equal or above EUR 500.000,00 and cannot exceed EUR 1.000.000,00</v>
      </c>
      <c r="F23" s="115"/>
      <c r="G23" s="115"/>
      <c r="H23" s="115"/>
      <c r="I23" s="116" t="str">
        <f>IF(OR(COUNTIF('Co-financing'!J:J,"Error")&lt;=1,AND('Co-financing'!B14="",'Co-financing'!E14="",'Co-financing'!F14="",'Co-financing'!G14="",'Co-financing'!H14=0)),"","Please check data in Tab 'Co-financing'")</f>
        <v/>
      </c>
      <c r="J23" s="116"/>
      <c r="K23" s="116"/>
      <c r="L23" s="117"/>
    </row>
    <row r="24" spans="2:12" ht="20.100000000000001" customHeight="1" x14ac:dyDescent="0.35">
      <c r="B24" s="4"/>
      <c r="C24" s="4"/>
      <c r="D24" s="4"/>
      <c r="E24" s="4"/>
      <c r="F24" s="4"/>
      <c r="G24" s="4"/>
      <c r="H24" s="4"/>
      <c r="I24" s="4"/>
      <c r="J24" s="4"/>
      <c r="K24" s="4"/>
    </row>
    <row r="25" spans="2:12" ht="24.9" customHeight="1" x14ac:dyDescent="0.35">
      <c r="B25" s="100" t="s">
        <v>179</v>
      </c>
      <c r="C25" s="100"/>
      <c r="D25" s="100"/>
      <c r="E25" s="100"/>
      <c r="F25" s="100"/>
      <c r="G25" s="100"/>
      <c r="H25" s="100"/>
      <c r="I25" s="100"/>
      <c r="J25" s="100"/>
      <c r="K25" s="100"/>
      <c r="L25" s="100"/>
    </row>
    <row r="26" spans="2:12" ht="36" x14ac:dyDescent="0.35">
      <c r="B26" s="46" t="s">
        <v>147</v>
      </c>
      <c r="C26" s="11" t="s">
        <v>148</v>
      </c>
      <c r="D26" s="11" t="s">
        <v>0</v>
      </c>
      <c r="E26" s="12" t="s">
        <v>176</v>
      </c>
      <c r="F26" s="12" t="s">
        <v>191</v>
      </c>
      <c r="G26" s="12" t="s">
        <v>192</v>
      </c>
      <c r="H26" s="12" t="s">
        <v>193</v>
      </c>
      <c r="I26" s="12" t="s">
        <v>194</v>
      </c>
      <c r="J26" s="12" t="s">
        <v>195</v>
      </c>
      <c r="K26" s="12" t="s">
        <v>340</v>
      </c>
      <c r="L26" s="13" t="s">
        <v>308</v>
      </c>
    </row>
    <row r="27" spans="2:12" x14ac:dyDescent="0.35">
      <c r="B27" s="44" t="s">
        <v>8</v>
      </c>
      <c r="C27" s="18" t="s">
        <v>362</v>
      </c>
      <c r="D27" s="14" t="s">
        <v>98</v>
      </c>
      <c r="E27" s="15" t="str">
        <f t="shared" ref="E27:E81" si="0">IFERROR(IF(D27&lt;&gt;"",VLOOKUP(D27,CountryType,2,FALSE),""),"Country not found")</f>
        <v>Programme Countries</v>
      </c>
      <c r="F27" s="16">
        <f>SUMIF('1. Staff costs'!C:C,B27,'1. Staff costs'!S:S)</f>
        <v>5510</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20000</v>
      </c>
      <c r="K27" s="16">
        <f>SUMIF(' 2-3-6. Travel&amp;Costs of Stay'!C:C,B27,' 2-3-6. Travel&amp;Costs of Stay'!N:N)</f>
        <v>0</v>
      </c>
      <c r="L27" s="17">
        <f>IF(OR(C27="",D27=""),0,SUM(F27:K27))</f>
        <v>25510</v>
      </c>
    </row>
    <row r="28" spans="2:12" x14ac:dyDescent="0.35">
      <c r="B28" s="44" t="s">
        <v>9</v>
      </c>
      <c r="C28" s="18" t="s">
        <v>363</v>
      </c>
      <c r="D28" s="14" t="s">
        <v>98</v>
      </c>
      <c r="E28" s="15" t="str">
        <f t="shared" si="0"/>
        <v>Programme Countries</v>
      </c>
      <c r="F28" s="16">
        <f>SUMIF('1. Staff costs'!C:C,B28,'1. Staff costs'!S:S)</f>
        <v>708</v>
      </c>
      <c r="G28" s="16">
        <f>SUMIF(' 2-3-6. Travel&amp;Costs of Stay'!C:C,B28,' 2-3-6. Travel&amp;Costs of Stay'!O:O)</f>
        <v>0</v>
      </c>
      <c r="H28" s="16">
        <f>SUMIF(' 2-3-6. Travel&amp;Costs of Stay'!C:C,B28,' 2-3-6. Travel&amp;Costs of Stay'!P:P)</f>
        <v>0</v>
      </c>
      <c r="I28" s="16">
        <f>SUMIF('4. Equipment Costs'!C:C,B28,'4. Equipment Costs'!H:H)</f>
        <v>0</v>
      </c>
      <c r="J28" s="16">
        <f>SUMIF('5. Subcontracting Costs'!C:C,B28,'5. Subcontracting Costs'!H:H)</f>
        <v>0</v>
      </c>
      <c r="K28" s="16">
        <f>SUMIF(' 2-3-6. Travel&amp;Costs of Stay'!C:C,B28,' 2-3-6. Travel&amp;Costs of Stay'!N:N)</f>
        <v>0</v>
      </c>
      <c r="L28" s="17">
        <f t="shared" ref="L28:L81" si="1">IF(OR(C28="",D28=""),0,SUM(F28:K28))</f>
        <v>708</v>
      </c>
    </row>
    <row r="29" spans="2:12" x14ac:dyDescent="0.35">
      <c r="B29" s="44" t="s">
        <v>10</v>
      </c>
      <c r="C29" s="18" t="s">
        <v>364</v>
      </c>
      <c r="D29" s="14" t="s">
        <v>98</v>
      </c>
      <c r="E29" s="15" t="str">
        <f t="shared" si="0"/>
        <v>Programme Countries</v>
      </c>
      <c r="F29" s="16">
        <f>SUMIF('1. Staff costs'!C:C,B29,'1. Staff costs'!S:S)</f>
        <v>234</v>
      </c>
      <c r="G29" s="16">
        <f>SUMIF(' 2-3-6. Travel&amp;Costs of Stay'!C:C,B29,' 2-3-6. Travel&amp;Costs of Stay'!O:O)</f>
        <v>0</v>
      </c>
      <c r="H29" s="16">
        <f>SUMIF(' 2-3-6. Travel&amp;Costs of Stay'!C:C,B29,' 2-3-6. Travel&amp;Costs of Stay'!P:P)</f>
        <v>660</v>
      </c>
      <c r="I29" s="16">
        <f>SUMIF('4. Equipment Costs'!C:C,B29,'4. Equipment Costs'!H:H)</f>
        <v>0</v>
      </c>
      <c r="J29" s="16">
        <f>SUMIF('5. Subcontracting Costs'!C:C,B29,'5. Subcontracting Costs'!H:H)</f>
        <v>0</v>
      </c>
      <c r="K29" s="16">
        <f>SUMIF(' 2-3-6. Travel&amp;Costs of Stay'!C:C,B29,' 2-3-6. Travel&amp;Costs of Stay'!N:N)</f>
        <v>2400</v>
      </c>
      <c r="L29" s="17">
        <f t="shared" si="1"/>
        <v>3294</v>
      </c>
    </row>
    <row r="30" spans="2:12" x14ac:dyDescent="0.35">
      <c r="B30" s="44" t="s">
        <v>11</v>
      </c>
      <c r="C30" s="18" t="s">
        <v>365</v>
      </c>
      <c r="D30" s="14" t="s">
        <v>98</v>
      </c>
      <c r="E30" s="15" t="str">
        <f t="shared" si="0"/>
        <v>Programme Countries</v>
      </c>
      <c r="F30" s="16">
        <f>SUMIF('1. Staff costs'!C:C,B30,'1. Staff costs'!S:S)</f>
        <v>6258</v>
      </c>
      <c r="G30" s="16">
        <f>SUMIF(' 2-3-6. Travel&amp;Costs of Stay'!C:C,B30,' 2-3-6. Travel&amp;Costs of Stay'!O:O)</f>
        <v>0</v>
      </c>
      <c r="H30" s="16">
        <f>SUMIF(' 2-3-6. Travel&amp;Costs of Stay'!C:C,B30,' 2-3-6. Travel&amp;Costs of Stay'!P:P)</f>
        <v>0</v>
      </c>
      <c r="I30" s="16">
        <f>SUMIF('4. Equipment Costs'!C:C,B30,'4. Equipment Costs'!H:H)</f>
        <v>0</v>
      </c>
      <c r="J30" s="16">
        <f>SUMIF('5. Subcontracting Costs'!C:C,B30,'5. Subcontracting Costs'!H:H)</f>
        <v>20000</v>
      </c>
      <c r="K30" s="16">
        <f>SUMIF(' 2-3-6. Travel&amp;Costs of Stay'!C:C,B30,' 2-3-6. Travel&amp;Costs of Stay'!N:N)</f>
        <v>0</v>
      </c>
      <c r="L30" s="17">
        <f t="shared" si="1"/>
        <v>26258</v>
      </c>
    </row>
    <row r="31" spans="2:12" x14ac:dyDescent="0.35">
      <c r="B31" s="44" t="s">
        <v>12</v>
      </c>
      <c r="C31" s="18" t="s">
        <v>366</v>
      </c>
      <c r="D31" s="14" t="s">
        <v>98</v>
      </c>
      <c r="E31" s="15" t="str">
        <f t="shared" si="0"/>
        <v>Programme Countries</v>
      </c>
      <c r="F31" s="16">
        <f>SUMIF('1. Staff costs'!C:C,B31,'1. Staff costs'!S:S)</f>
        <v>36723</v>
      </c>
      <c r="G31" s="16">
        <f>SUMIF(' 2-3-6. Travel&amp;Costs of Stay'!C:C,B31,' 2-3-6. Travel&amp;Costs of Stay'!O:O)</f>
        <v>0</v>
      </c>
      <c r="H31" s="16">
        <f>SUMIF(' 2-3-6. Travel&amp;Costs of Stay'!C:C,B31,' 2-3-6. Travel&amp;Costs of Stay'!P:P)</f>
        <v>0</v>
      </c>
      <c r="I31" s="16">
        <f>SUMIF('4. Equipment Costs'!C:C,B31,'4. Equipment Costs'!H:H)</f>
        <v>0</v>
      </c>
      <c r="J31" s="16">
        <f>SUMIF('5. Subcontracting Costs'!C:C,B31,'5. Subcontracting Costs'!H:H)</f>
        <v>0</v>
      </c>
      <c r="K31" s="16">
        <f>SUMIF(' 2-3-6. Travel&amp;Costs of Stay'!C:C,B31,' 2-3-6. Travel&amp;Costs of Stay'!N:N)</f>
        <v>0</v>
      </c>
      <c r="L31" s="17">
        <f t="shared" si="1"/>
        <v>36723</v>
      </c>
    </row>
    <row r="32" spans="2:12" x14ac:dyDescent="0.35">
      <c r="B32" s="44" t="s">
        <v>13</v>
      </c>
      <c r="C32" s="18" t="s">
        <v>367</v>
      </c>
      <c r="D32" s="14" t="s">
        <v>34</v>
      </c>
      <c r="E32" s="15" t="str">
        <f t="shared" si="0"/>
        <v>Programme Countries</v>
      </c>
      <c r="F32" s="16">
        <f>SUMIF('1. Staff costs'!C:C,B32,'1. Staff costs'!S:S)</f>
        <v>48482</v>
      </c>
      <c r="G32" s="16">
        <f>SUMIF(' 2-3-6. Travel&amp;Costs of Stay'!C:C,B32,' 2-3-6. Travel&amp;Costs of Stay'!O:O)</f>
        <v>0</v>
      </c>
      <c r="H32" s="16">
        <f>SUMIF(' 2-3-6. Travel&amp;Costs of Stay'!C:C,B32,' 2-3-6. Travel&amp;Costs of Stay'!P:P)</f>
        <v>0</v>
      </c>
      <c r="I32" s="16">
        <f>SUMIF('4. Equipment Costs'!C:C,B32,'4. Equipment Costs'!H:H)</f>
        <v>0</v>
      </c>
      <c r="J32" s="16">
        <f>SUMIF('5. Subcontracting Costs'!C:C,B32,'5. Subcontracting Costs'!H:H)</f>
        <v>0</v>
      </c>
      <c r="K32" s="16">
        <f>SUMIF(' 2-3-6. Travel&amp;Costs of Stay'!C:C,B32,' 2-3-6. Travel&amp;Costs of Stay'!N:N)</f>
        <v>0</v>
      </c>
      <c r="L32" s="17">
        <f t="shared" si="1"/>
        <v>48482</v>
      </c>
    </row>
    <row r="33" spans="2:12" x14ac:dyDescent="0.35">
      <c r="B33" s="44" t="s">
        <v>14</v>
      </c>
      <c r="C33" s="18" t="s">
        <v>368</v>
      </c>
      <c r="D33" s="14" t="s">
        <v>31</v>
      </c>
      <c r="E33" s="15" t="str">
        <f t="shared" si="0"/>
        <v>Programme Countries</v>
      </c>
      <c r="F33" s="16">
        <f>SUMIF('1. Staff costs'!C:C,B33,'1. Staff costs'!S:S)</f>
        <v>44926</v>
      </c>
      <c r="G33" s="16">
        <f>SUMIF(' 2-3-6. Travel&amp;Costs of Stay'!C:C,B33,' 2-3-6. Travel&amp;Costs of Stay'!O:O)</f>
        <v>0</v>
      </c>
      <c r="H33" s="16">
        <f>SUMIF(' 2-3-6. Travel&amp;Costs of Stay'!C:C,B33,' 2-3-6. Travel&amp;Costs of Stay'!P:P)</f>
        <v>0</v>
      </c>
      <c r="I33" s="16">
        <f>SUMIF('4. Equipment Costs'!C:C,B33,'4. Equipment Costs'!H:H)</f>
        <v>0</v>
      </c>
      <c r="J33" s="16">
        <f>SUMIF('5. Subcontracting Costs'!C:C,B33,'5. Subcontracting Costs'!H:H)</f>
        <v>19000</v>
      </c>
      <c r="K33" s="16">
        <f>SUMIF(' 2-3-6. Travel&amp;Costs of Stay'!C:C,B33,' 2-3-6. Travel&amp;Costs of Stay'!N:N)</f>
        <v>0</v>
      </c>
      <c r="L33" s="17">
        <f t="shared" si="1"/>
        <v>63926</v>
      </c>
    </row>
    <row r="34" spans="2:12" x14ac:dyDescent="0.35">
      <c r="B34" s="44" t="s">
        <v>15</v>
      </c>
      <c r="C34" s="18" t="s">
        <v>369</v>
      </c>
      <c r="D34" s="14" t="s">
        <v>45</v>
      </c>
      <c r="E34" s="15" t="str">
        <f t="shared" si="0"/>
        <v>Programme Countries</v>
      </c>
      <c r="F34" s="16">
        <f>SUMIF('1. Staff costs'!C:C,B34,'1. Staff costs'!S:S)</f>
        <v>13900</v>
      </c>
      <c r="G34" s="16">
        <f>SUMIF(' 2-3-6. Travel&amp;Costs of Stay'!C:C,B34,' 2-3-6. Travel&amp;Costs of Stay'!O:O)</f>
        <v>0</v>
      </c>
      <c r="H34" s="16">
        <f>SUMIF(' 2-3-6. Travel&amp;Costs of Stay'!C:C,B34,' 2-3-6. Travel&amp;Costs of Stay'!P:P)</f>
        <v>0</v>
      </c>
      <c r="I34" s="16">
        <f>SUMIF('4. Equipment Costs'!C:C,B34,'4. Equipment Costs'!H:H)</f>
        <v>0</v>
      </c>
      <c r="J34" s="16">
        <f>SUMIF('5. Subcontracting Costs'!C:C,B34,'5. Subcontracting Costs'!H:H)</f>
        <v>0</v>
      </c>
      <c r="K34" s="16">
        <f>SUMIF(' 2-3-6. Travel&amp;Costs of Stay'!C:C,B34,' 2-3-6. Travel&amp;Costs of Stay'!N:N)</f>
        <v>0</v>
      </c>
      <c r="L34" s="17">
        <f t="shared" si="1"/>
        <v>13900</v>
      </c>
    </row>
    <row r="35" spans="2:12" x14ac:dyDescent="0.35">
      <c r="B35" s="44" t="s">
        <v>16</v>
      </c>
      <c r="C35" s="18" t="s">
        <v>370</v>
      </c>
      <c r="D35" s="14" t="s">
        <v>3</v>
      </c>
      <c r="E35" s="15" t="str">
        <f t="shared" si="0"/>
        <v>Programme Countries</v>
      </c>
      <c r="F35" s="16">
        <f>SUMIF('1. Staff costs'!C:C,B35,'1. Staff costs'!S:S)</f>
        <v>26032</v>
      </c>
      <c r="G35" s="16">
        <f>SUMIF(' 2-3-6. Travel&amp;Costs of Stay'!C:C,B35,' 2-3-6. Travel&amp;Costs of Stay'!O:O)</f>
        <v>0</v>
      </c>
      <c r="H35" s="16">
        <f>SUMIF(' 2-3-6. Travel&amp;Costs of Stay'!C:C,B35,' 2-3-6. Travel&amp;Costs of Stay'!P:P)</f>
        <v>0</v>
      </c>
      <c r="I35" s="16">
        <f>SUMIF('4. Equipment Costs'!C:C,B35,'4. Equipment Costs'!H:H)</f>
        <v>0</v>
      </c>
      <c r="J35" s="16">
        <f>SUMIF('5. Subcontracting Costs'!C:C,B35,'5. Subcontracting Costs'!H:H)</f>
        <v>0</v>
      </c>
      <c r="K35" s="16">
        <f>SUMIF(' 2-3-6. Travel&amp;Costs of Stay'!C:C,B35,' 2-3-6. Travel&amp;Costs of Stay'!N:N)</f>
        <v>0</v>
      </c>
      <c r="L35" s="17">
        <f t="shared" si="1"/>
        <v>26032</v>
      </c>
    </row>
    <row r="36" spans="2:12" x14ac:dyDescent="0.35">
      <c r="B36" s="44" t="s">
        <v>17</v>
      </c>
      <c r="C36" s="18" t="s">
        <v>371</v>
      </c>
      <c r="D36" s="14" t="s">
        <v>33</v>
      </c>
      <c r="E36" s="15" t="str">
        <f t="shared" si="0"/>
        <v>Programme Countries</v>
      </c>
      <c r="F36" s="16">
        <f>SUMIF('1. Staff costs'!C:C,B36,'1. Staff costs'!S:S)</f>
        <v>26032</v>
      </c>
      <c r="G36" s="16">
        <f>SUMIF(' 2-3-6. Travel&amp;Costs of Stay'!C:C,B36,' 2-3-6. Travel&amp;Costs of Stay'!O:O)</f>
        <v>0</v>
      </c>
      <c r="H36" s="16">
        <f>SUMIF(' 2-3-6. Travel&amp;Costs of Stay'!C:C,B36,' 2-3-6. Travel&amp;Costs of Stay'!P:P)</f>
        <v>0</v>
      </c>
      <c r="I36" s="16">
        <f>SUMIF('4. Equipment Costs'!C:C,B36,'4. Equipment Costs'!H:H)</f>
        <v>0</v>
      </c>
      <c r="J36" s="16">
        <f>SUMIF('5. Subcontracting Costs'!C:C,B36,'5. Subcontracting Costs'!H:H)</f>
        <v>0</v>
      </c>
      <c r="K36" s="16">
        <f>SUMIF(' 2-3-6. Travel&amp;Costs of Stay'!C:C,B36,' 2-3-6. Travel&amp;Costs of Stay'!N:N)</f>
        <v>0</v>
      </c>
      <c r="L36" s="17">
        <f t="shared" si="1"/>
        <v>26032</v>
      </c>
    </row>
    <row r="37" spans="2:12" x14ac:dyDescent="0.35">
      <c r="B37" s="44" t="s">
        <v>18</v>
      </c>
      <c r="C37" s="18" t="s">
        <v>372</v>
      </c>
      <c r="D37" s="14" t="s">
        <v>4</v>
      </c>
      <c r="E37" s="15" t="str">
        <f t="shared" si="0"/>
        <v>Programme Countries</v>
      </c>
      <c r="F37" s="16">
        <f>SUMIF('1. Staff costs'!C:C,B37,'1. Staff costs'!S:S)</f>
        <v>26620</v>
      </c>
      <c r="G37" s="16">
        <f>SUMIF(' 2-3-6. Travel&amp;Costs of Stay'!C:C,B37,' 2-3-6. Travel&amp;Costs of Stay'!O:O)</f>
        <v>0</v>
      </c>
      <c r="H37" s="16">
        <f>SUMIF(' 2-3-6. Travel&amp;Costs of Stay'!C:C,B37,' 2-3-6. Travel&amp;Costs of Stay'!P:P)</f>
        <v>0</v>
      </c>
      <c r="I37" s="16">
        <f>SUMIF('4. Equipment Costs'!C:C,B37,'4. Equipment Costs'!H:H)</f>
        <v>0</v>
      </c>
      <c r="J37" s="16">
        <f>SUMIF('5. Subcontracting Costs'!C:C,B37,'5. Subcontracting Costs'!H:H)</f>
        <v>0</v>
      </c>
      <c r="K37" s="16">
        <f>SUMIF(' 2-3-6. Travel&amp;Costs of Stay'!C:C,B37,' 2-3-6. Travel&amp;Costs of Stay'!N:N)</f>
        <v>0</v>
      </c>
      <c r="L37" s="17">
        <f t="shared" si="1"/>
        <v>26620</v>
      </c>
    </row>
    <row r="38" spans="2:12" x14ac:dyDescent="0.35">
      <c r="B38" s="44" t="s">
        <v>19</v>
      </c>
      <c r="C38" s="18" t="s">
        <v>373</v>
      </c>
      <c r="D38" s="14" t="s">
        <v>90</v>
      </c>
      <c r="E38" s="15" t="str">
        <f t="shared" si="0"/>
        <v>Partner Countries</v>
      </c>
      <c r="F38" s="16">
        <f>SUMIF('1. Staff costs'!C:C,B38,'1. Staff costs'!S:S)</f>
        <v>9360</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9360</v>
      </c>
    </row>
    <row r="39" spans="2:12" x14ac:dyDescent="0.35">
      <c r="B39" s="44" t="s">
        <v>156</v>
      </c>
      <c r="C39" s="18" t="s">
        <v>374</v>
      </c>
      <c r="D39" s="14" t="s">
        <v>29</v>
      </c>
      <c r="E39" s="15" t="str">
        <f t="shared" si="0"/>
        <v>Programme Countries</v>
      </c>
      <c r="F39" s="16">
        <f>SUMIF('1. Staff costs'!C:C,B39,'1. Staff costs'!S:S)</f>
        <v>27418</v>
      </c>
      <c r="G39" s="16">
        <f>SUMIF(' 2-3-6. Travel&amp;Costs of Stay'!C:C,B39,' 2-3-6. Travel&amp;Costs of Stay'!O:O)</f>
        <v>0</v>
      </c>
      <c r="H39" s="16">
        <f>SUMIF(' 2-3-6. Travel&amp;Costs of Stay'!C:C,B39,' 2-3-6. Travel&amp;Costs of Stay'!P:P)</f>
        <v>0</v>
      </c>
      <c r="I39" s="16">
        <f>SUMIF('4. Equipment Costs'!C:C,B39,'4. Equipment Costs'!H:H)</f>
        <v>0</v>
      </c>
      <c r="J39" s="16">
        <f>SUMIF('5. Subcontracting Costs'!C:C,B39,'5. Subcontracting Costs'!H:H)</f>
        <v>0</v>
      </c>
      <c r="K39" s="16">
        <f>SUMIF(' 2-3-6. Travel&amp;Costs of Stay'!C:C,B39,' 2-3-6. Travel&amp;Costs of Stay'!N:N)</f>
        <v>0</v>
      </c>
      <c r="L39" s="17">
        <f t="shared" si="1"/>
        <v>27418</v>
      </c>
    </row>
    <row r="40" spans="2:12" x14ac:dyDescent="0.35">
      <c r="B40" s="44" t="s">
        <v>20</v>
      </c>
      <c r="C40" s="18" t="s">
        <v>375</v>
      </c>
      <c r="D40" s="14" t="s">
        <v>51</v>
      </c>
      <c r="E40" s="15" t="str">
        <f t="shared" si="0"/>
        <v>Programme Countries</v>
      </c>
      <c r="F40" s="16">
        <f>SUMIF('1. Staff costs'!C:C,B40,'1. Staff costs'!S:S)</f>
        <v>7664</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7664</v>
      </c>
    </row>
    <row r="41" spans="2:12" x14ac:dyDescent="0.35">
      <c r="B41" s="44" t="s">
        <v>21</v>
      </c>
      <c r="C41" s="18" t="s">
        <v>376</v>
      </c>
      <c r="D41" s="14" t="s">
        <v>64</v>
      </c>
      <c r="E41" s="15" t="str">
        <f t="shared" si="0"/>
        <v>Partner Countries</v>
      </c>
      <c r="F41" s="16">
        <f>SUMIF('1. Staff costs'!C:C,B41,'1. Staff costs'!S:S)</f>
        <v>9360</v>
      </c>
      <c r="G41" s="16">
        <f>SUMIF(' 2-3-6. Travel&amp;Costs of Stay'!C:C,B41,' 2-3-6. Travel&amp;Costs of Stay'!O:O)</f>
        <v>0</v>
      </c>
      <c r="H41" s="16">
        <f>SUMIF(' 2-3-6. Travel&amp;Costs of Stay'!C:C,B41,' 2-3-6. Travel&amp;Costs of Stay'!P:P)</f>
        <v>0</v>
      </c>
      <c r="I41" s="16">
        <f>SUMIF('4. Equipment Costs'!C:C,B41,'4. Equipment Costs'!H:H)</f>
        <v>210000</v>
      </c>
      <c r="J41" s="16">
        <f>SUMIF('5. Subcontracting Costs'!C:C,B41,'5. Subcontracting Costs'!H:H)</f>
        <v>0</v>
      </c>
      <c r="K41" s="16">
        <f>SUMIF(' 2-3-6. Travel&amp;Costs of Stay'!C:C,B41,' 2-3-6. Travel&amp;Costs of Stay'!N:N)</f>
        <v>0</v>
      </c>
      <c r="L41" s="17">
        <f t="shared" si="1"/>
        <v>219360</v>
      </c>
    </row>
    <row r="42" spans="2:12" x14ac:dyDescent="0.35">
      <c r="B42" s="44" t="s">
        <v>22</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23</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24</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25</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26</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109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199" priority="18">
      <formula>D17&gt;ROUND(D23*0.4,2)</formula>
    </cfRule>
  </conditionalFormatting>
  <conditionalFormatting sqref="D20">
    <cfRule type="expression" dxfId="198" priority="16">
      <formula>D20&gt;ROUND(D23*0.3,2)</formula>
    </cfRule>
  </conditionalFormatting>
  <conditionalFormatting sqref="D21">
    <cfRule type="expression" dxfId="197" priority="14">
      <formula>D21&gt;ROUND(D23*0.1,2)</formula>
    </cfRule>
  </conditionalFormatting>
  <conditionalFormatting sqref="D23">
    <cfRule type="cellIs" dxfId="196" priority="12" operator="notBetween">
      <formula>500000</formula>
      <formula>1000000</formula>
    </cfRule>
  </conditionalFormatting>
  <conditionalFormatting sqref="E18 I18">
    <cfRule type="cellIs" dxfId="195" priority="2" operator="equal">
      <formula>"Exceptional travel costs exceed 80% of total travel costs"</formula>
    </cfRule>
  </conditionalFormatting>
  <conditionalFormatting sqref="I19">
    <cfRule type="cellIs" dxfId="194"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339</v>
      </c>
      <c r="B1" s="81"/>
    </row>
    <row r="2" spans="1:2" x14ac:dyDescent="0.3">
      <c r="A2" s="82" t="s">
        <v>166</v>
      </c>
      <c r="B2" s="82" t="str">
        <f>IF(COUNTIF('1. Staff costs'!T:T,"Error")&lt;=1,"OK","Please check data in Tab '"&amp;A2&amp;"'")</f>
        <v>OK</v>
      </c>
    </row>
    <row r="3" spans="1:2" x14ac:dyDescent="0.3">
      <c r="A3" s="83" t="s">
        <v>338</v>
      </c>
      <c r="B3" s="83" t="str">
        <f>IF(COUNTIF(' 2-3-6. Travel&amp;Costs of Stay'!R:R,"Error")&lt;=1,"OK","Please check data in Tab '"&amp;A3&amp;"'")</f>
        <v>OK</v>
      </c>
    </row>
    <row r="4" spans="1:2" x14ac:dyDescent="0.3">
      <c r="A4" s="83" t="s">
        <v>185</v>
      </c>
      <c r="B4" s="83" t="str">
        <f>IF(COUNTIF('4. Equipment Costs'!I:T,"Error")&lt;=1,"OK","Please check data in Tab '"&amp;A4&amp;"'")</f>
        <v>OK</v>
      </c>
    </row>
    <row r="5" spans="1:2" x14ac:dyDescent="0.3">
      <c r="A5" s="83" t="s">
        <v>186</v>
      </c>
      <c r="B5" s="83" t="str">
        <f>IF(COUNTIF('5. Subcontracting Costs'!I:I,"Error")&lt;=1,"OK","Please check data in Tab '"&amp;A5&amp;"'")</f>
        <v>OK</v>
      </c>
    </row>
    <row r="6" spans="1:2" x14ac:dyDescent="0.3">
      <c r="A6" s="83" t="s">
        <v>337</v>
      </c>
      <c r="B6" s="83" t="str">
        <f>IF(COUNTIF('Co-financing'!J:J,"Error")&lt;=1,"OK","Please check data in Tab '"&amp;A6&amp;"'")</f>
        <v>OK</v>
      </c>
    </row>
    <row r="7" spans="1:2" x14ac:dyDescent="0.3">
      <c r="A7" s="84" t="s">
        <v>336</v>
      </c>
      <c r="B7" s="84" t="str">
        <f>IF(' 2-3-6. Travel&amp;Costs of Stay'!K4="","OK","Please check Exceptional Travel Costs (EUR) in Tab '"&amp;A3&amp;"'")</f>
        <v>OK</v>
      </c>
    </row>
  </sheetData>
  <conditionalFormatting sqref="B2:B7">
    <cfRule type="cellIs" dxfId="192" priority="5" operator="notEqual">
      <formula>"OK"</formula>
    </cfRule>
    <cfRule type="cellIs" dxfId="191"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62"/>
  <sheetViews>
    <sheetView showGridLines="0" zoomScale="73" zoomScaleNormal="55" zoomScaleSheetLayoutView="55" workbookViewId="0">
      <pane ySplit="13" topLeftCell="A14" activePane="bottomLeft" state="frozen"/>
      <selection pane="bottomLeft" activeCell="F50" sqref="F50"/>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31" t="s">
        <v>166</v>
      </c>
      <c r="C2" s="131"/>
      <c r="D2" s="131"/>
      <c r="E2" s="131"/>
      <c r="F2" s="131"/>
      <c r="G2" s="131"/>
      <c r="H2" s="131"/>
      <c r="I2" s="131"/>
      <c r="J2" s="131"/>
      <c r="K2" s="131"/>
      <c r="L2" s="131"/>
      <c r="M2" s="131"/>
      <c r="N2" s="131"/>
      <c r="O2" s="131"/>
      <c r="P2" s="131"/>
      <c r="Q2" s="131"/>
      <c r="R2" s="131"/>
      <c r="S2" s="131"/>
      <c r="T2" s="131"/>
    </row>
    <row r="3" spans="2:20" s="20" customFormat="1" ht="8.1" customHeight="1" x14ac:dyDescent="0.35">
      <c r="B3" s="128"/>
      <c r="C3" s="129"/>
      <c r="D3" s="129"/>
      <c r="E3" s="129"/>
      <c r="F3" s="129"/>
      <c r="G3" s="129"/>
      <c r="H3" s="129"/>
      <c r="I3" s="129"/>
      <c r="J3" s="129"/>
      <c r="K3" s="129"/>
      <c r="L3" s="129"/>
      <c r="M3" s="129"/>
      <c r="N3" s="129"/>
      <c r="O3" s="129"/>
      <c r="P3" s="129"/>
      <c r="Q3" s="129"/>
      <c r="R3" s="129"/>
      <c r="S3" s="129"/>
      <c r="T3" s="130"/>
    </row>
    <row r="4" spans="2:20" s="20" customFormat="1" ht="20.100000000000001" customHeight="1" x14ac:dyDescent="0.35">
      <c r="B4" s="125"/>
      <c r="C4" s="127"/>
      <c r="D4" s="40" t="s">
        <v>184</v>
      </c>
      <c r="E4" s="40" t="s">
        <v>182</v>
      </c>
      <c r="F4" s="122"/>
      <c r="G4" s="123"/>
      <c r="H4" s="123"/>
      <c r="I4" s="123"/>
      <c r="J4" s="123"/>
      <c r="K4" s="123"/>
      <c r="L4" s="123"/>
      <c r="M4" s="123"/>
      <c r="N4" s="123"/>
      <c r="O4" s="123"/>
      <c r="P4" s="123"/>
      <c r="Q4" s="123"/>
      <c r="R4" s="123"/>
      <c r="S4" s="123"/>
      <c r="T4" s="124"/>
    </row>
    <row r="5" spans="2:20" s="20" customFormat="1" ht="20.100000000000001" customHeight="1" x14ac:dyDescent="0.35">
      <c r="B5" s="136" t="s">
        <v>131</v>
      </c>
      <c r="C5" s="137"/>
      <c r="D5" s="41">
        <f>SUM(H:H)</f>
        <v>215282</v>
      </c>
      <c r="E5" s="24">
        <f>SUMIF(T:T,"&lt;&gt;Error",F:F)</f>
        <v>1130</v>
      </c>
      <c r="F5" s="122"/>
      <c r="G5" s="123"/>
      <c r="H5" s="123"/>
      <c r="I5" s="123"/>
      <c r="J5" s="123"/>
      <c r="K5" s="123"/>
      <c r="L5" s="123"/>
      <c r="M5" s="123"/>
      <c r="N5" s="123"/>
      <c r="O5" s="123"/>
      <c r="P5" s="123"/>
      <c r="Q5" s="123"/>
      <c r="R5" s="123"/>
      <c r="S5" s="123"/>
      <c r="T5" s="124"/>
    </row>
    <row r="6" spans="2:20" s="20" customFormat="1" ht="20.100000000000001" customHeight="1" x14ac:dyDescent="0.35">
      <c r="B6" s="138" t="s">
        <v>129</v>
      </c>
      <c r="C6" s="139"/>
      <c r="D6" s="41">
        <f>SUM(K:K)</f>
        <v>33558</v>
      </c>
      <c r="E6" s="24">
        <f>SUMIF(T:T,"&lt;&gt;Error",I:I)</f>
        <v>267</v>
      </c>
      <c r="F6" s="122"/>
      <c r="G6" s="123"/>
      <c r="H6" s="123"/>
      <c r="I6" s="123"/>
      <c r="J6" s="123"/>
      <c r="K6" s="123"/>
      <c r="L6" s="123"/>
      <c r="M6" s="123"/>
      <c r="N6" s="123"/>
      <c r="O6" s="123"/>
      <c r="P6" s="123"/>
      <c r="Q6" s="123"/>
      <c r="R6" s="123"/>
      <c r="S6" s="123"/>
      <c r="T6" s="124"/>
    </row>
    <row r="7" spans="2:20" s="20" customFormat="1" ht="20.100000000000001" customHeight="1" x14ac:dyDescent="0.35">
      <c r="B7" s="136" t="s">
        <v>314</v>
      </c>
      <c r="C7" s="137"/>
      <c r="D7" s="41">
        <f>SUM(N:N)</f>
        <v>7258</v>
      </c>
      <c r="E7" s="24">
        <f>SUMIF(T:T,"&lt;&gt;Error",L:L)</f>
        <v>95</v>
      </c>
      <c r="F7" s="122"/>
      <c r="G7" s="123"/>
      <c r="H7" s="123"/>
      <c r="I7" s="123"/>
      <c r="J7" s="123"/>
      <c r="K7" s="123"/>
      <c r="L7" s="123"/>
      <c r="M7" s="123"/>
      <c r="N7" s="123"/>
      <c r="O7" s="123"/>
      <c r="P7" s="123"/>
      <c r="Q7" s="123"/>
      <c r="R7" s="123"/>
      <c r="S7" s="123"/>
      <c r="T7" s="124"/>
    </row>
    <row r="8" spans="2:20" s="20" customFormat="1" ht="20.100000000000001" customHeight="1" x14ac:dyDescent="0.35">
      <c r="B8" s="136" t="s">
        <v>313</v>
      </c>
      <c r="C8" s="137"/>
      <c r="D8" s="41">
        <f>SUM(Q:Q)</f>
        <v>33129</v>
      </c>
      <c r="E8" s="24">
        <f>SUMIF(T:T,"&lt;&gt;Error",O:O)</f>
        <v>409</v>
      </c>
      <c r="F8" s="122"/>
      <c r="G8" s="123"/>
      <c r="H8" s="123"/>
      <c r="I8" s="123"/>
      <c r="J8" s="123"/>
      <c r="K8" s="123"/>
      <c r="L8" s="123"/>
      <c r="M8" s="123"/>
      <c r="N8" s="123"/>
      <c r="O8" s="123"/>
      <c r="P8" s="123"/>
      <c r="Q8" s="123"/>
      <c r="R8" s="123"/>
      <c r="S8" s="123"/>
      <c r="T8" s="124"/>
    </row>
    <row r="9" spans="2:20" s="20" customFormat="1" ht="20.100000000000001" customHeight="1" x14ac:dyDescent="0.35">
      <c r="B9" s="140"/>
      <c r="C9" s="141"/>
      <c r="D9" s="26">
        <f>SUM(D5:D8)</f>
        <v>289227</v>
      </c>
      <c r="E9" s="25">
        <f>SUM(E5:E8)</f>
        <v>1901</v>
      </c>
      <c r="F9" s="122"/>
      <c r="G9" s="123"/>
      <c r="H9" s="123"/>
      <c r="I9" s="123"/>
      <c r="J9" s="123"/>
      <c r="K9" s="123"/>
      <c r="L9" s="123"/>
      <c r="M9" s="123"/>
      <c r="N9" s="123"/>
      <c r="O9" s="123"/>
      <c r="P9" s="123"/>
      <c r="Q9" s="123"/>
      <c r="R9" s="123"/>
      <c r="S9" s="123"/>
      <c r="T9" s="124"/>
    </row>
    <row r="10" spans="2:20" s="20" customFormat="1" ht="8.1" customHeight="1" x14ac:dyDescent="0.35">
      <c r="B10" s="125"/>
      <c r="C10" s="126"/>
      <c r="D10" s="126"/>
      <c r="E10" s="126"/>
      <c r="F10" s="126"/>
      <c r="G10" s="126"/>
      <c r="H10" s="126"/>
      <c r="I10" s="126"/>
      <c r="J10" s="126"/>
      <c r="K10" s="126"/>
      <c r="L10" s="126"/>
      <c r="M10" s="126"/>
      <c r="N10" s="126"/>
      <c r="O10" s="126"/>
      <c r="P10" s="126"/>
      <c r="Q10" s="126"/>
      <c r="R10" s="126"/>
      <c r="S10" s="126"/>
      <c r="T10" s="127"/>
    </row>
    <row r="11" spans="2:20" s="45" customFormat="1" ht="23.1" customHeight="1" x14ac:dyDescent="0.35">
      <c r="B11" s="120" t="s">
        <v>162</v>
      </c>
      <c r="C11" s="120" t="s">
        <v>147</v>
      </c>
      <c r="D11" s="120" t="s">
        <v>216</v>
      </c>
      <c r="E11" s="120" t="s">
        <v>217</v>
      </c>
      <c r="F11" s="132" t="str">
        <f>'Unit Costs &amp; Funding Rule'!D7</f>
        <v>Manager</v>
      </c>
      <c r="G11" s="132"/>
      <c r="H11" s="132"/>
      <c r="I11" s="133" t="str">
        <f>'Unit Costs &amp; Funding Rule'!E7</f>
        <v>Teacher/Trainer/Researcher</v>
      </c>
      <c r="J11" s="134"/>
      <c r="K11" s="135"/>
      <c r="L11" s="132" t="str">
        <f>'Unit Costs &amp; Funding Rule'!F7</f>
        <v>Technical Staff</v>
      </c>
      <c r="M11" s="132"/>
      <c r="N11" s="132"/>
      <c r="O11" s="132" t="str">
        <f>'Unit Costs &amp; Funding Rule'!G7</f>
        <v>Administrative Staff</v>
      </c>
      <c r="P11" s="132"/>
      <c r="Q11" s="132"/>
      <c r="R11" s="120" t="s">
        <v>198</v>
      </c>
      <c r="S11" s="120" t="s">
        <v>163</v>
      </c>
      <c r="T11" s="120" t="s">
        <v>218</v>
      </c>
    </row>
    <row r="12" spans="2:20" s="45" customFormat="1" ht="42" customHeight="1" x14ac:dyDescent="0.35">
      <c r="B12" s="121"/>
      <c r="C12" s="121"/>
      <c r="D12" s="121"/>
      <c r="E12" s="121"/>
      <c r="F12" s="46" t="s">
        <v>207</v>
      </c>
      <c r="G12" s="27" t="s">
        <v>211</v>
      </c>
      <c r="H12" s="46" t="s">
        <v>164</v>
      </c>
      <c r="I12" s="46" t="s">
        <v>207</v>
      </c>
      <c r="J12" s="27" t="s">
        <v>211</v>
      </c>
      <c r="K12" s="46" t="s">
        <v>164</v>
      </c>
      <c r="L12" s="46" t="s">
        <v>207</v>
      </c>
      <c r="M12" s="27" t="s">
        <v>211</v>
      </c>
      <c r="N12" s="46" t="s">
        <v>164</v>
      </c>
      <c r="O12" s="46" t="s">
        <v>207</v>
      </c>
      <c r="P12" s="27" t="s">
        <v>211</v>
      </c>
      <c r="Q12" s="46" t="s">
        <v>164</v>
      </c>
      <c r="R12" s="121"/>
      <c r="S12" s="121"/>
      <c r="T12" s="121"/>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173</v>
      </c>
      <c r="C14" s="19" t="s">
        <v>12</v>
      </c>
      <c r="D14" s="42" t="str">
        <f t="shared" si="0"/>
        <v>Ministarstvo prosvete, nauke I tehnoloskog razvoja</v>
      </c>
      <c r="E14" s="42" t="str">
        <f t="shared" si="1"/>
        <v>Serbia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3">
      <c r="B15" s="14" t="s">
        <v>173</v>
      </c>
      <c r="C15" s="19" t="s">
        <v>13</v>
      </c>
      <c r="D15" s="42" t="str">
        <f t="shared" ref="D15:D62" si="13">IFERROR(IF(VLOOKUP(C15,PartnerN°Ref,2,FALSE)=0,"",VLOOKUP(C15,PartnerN°Ref,2,FALSE)),"")</f>
        <v>University of Helsinki</v>
      </c>
      <c r="E15" s="42" t="str">
        <f t="shared" ref="E15:E62" si="14">IFERROR(IF(OR(VLOOKUP(C15,PartnerN°Ref,4,FALSE)="Country not found",VLOOKUP(C15,PartnerN°Ref,3,FALSE)=0),"",VLOOKUP(C15,PartnerN°Ref,3,FALSE)),"")</f>
        <v>Finland</v>
      </c>
      <c r="F15" s="28">
        <v>0</v>
      </c>
      <c r="G15" s="29">
        <f t="shared" ref="G15:G62" si="15">IF(T15="Error",0,INDEX(Rates,MATCH(E15,CountryALL,0),MATCH($F$11,Category,0)))</f>
        <v>280</v>
      </c>
      <c r="H15" s="30">
        <f t="shared" ref="H15:H62" si="16">IFERROR(IF(T15="Error",0,ROUND(F15*G15,2)),0)</f>
        <v>0</v>
      </c>
      <c r="I15" s="28">
        <v>0</v>
      </c>
      <c r="J15" s="29">
        <f t="shared" ref="J15:J62" si="17">IF(T15="Error",0,INDEX(Rates,MATCH(E15,CountryALL,0),MATCH($I$11,Category,0)))</f>
        <v>214</v>
      </c>
      <c r="K15" s="30">
        <f t="shared" ref="K15:K62" si="18">IFERROR(IF(T15="Error",0,ROUND(I15*J15,2)),0)</f>
        <v>0</v>
      </c>
      <c r="L15" s="28">
        <v>0</v>
      </c>
      <c r="M15" s="29">
        <f t="shared" ref="M15:M62" si="19">IF(T15="Error",0,INDEX(Rates,MATCH(E15,CountryALL,0),MATCH($L$11,Category,0)))</f>
        <v>162</v>
      </c>
      <c r="N15" s="30">
        <f t="shared" ref="N15:N62" si="20">IFERROR(IF(T15="Error",0,ROUND(L15*M15,2)),0)</f>
        <v>0</v>
      </c>
      <c r="O15" s="28">
        <v>10</v>
      </c>
      <c r="P15" s="29">
        <f t="shared" ref="P15:P62" si="21">IF(T15="Error",0,INDEX(Rates,MATCH(E15,CountryALL,0),MATCH($O$11,Category,0)))</f>
        <v>131</v>
      </c>
      <c r="Q15" s="30">
        <f t="shared" ref="Q15:Q62" si="22">IFERROR(IF(T15="Error",0,ROUND(O15*P15,2)),0)</f>
        <v>1310</v>
      </c>
      <c r="R15" s="31">
        <f t="shared" ref="R15:R62" si="23">IF(T15="Error",0,F15+I15+L15+O15)</f>
        <v>10</v>
      </c>
      <c r="S15" s="32">
        <f t="shared" ref="S15:S62" si="24">IF(T15="Error",0,H15+K15+N15+Q15)</f>
        <v>1310</v>
      </c>
      <c r="T15" s="33" t="str">
        <f t="shared" ref="T15:T62"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173</v>
      </c>
      <c r="C16" s="19" t="s">
        <v>18</v>
      </c>
      <c r="D16" s="42" t="str">
        <f t="shared" si="13"/>
        <v>IMEC</v>
      </c>
      <c r="E16" s="42" t="str">
        <f t="shared" si="14"/>
        <v>Belgium</v>
      </c>
      <c r="F16" s="28">
        <v>0</v>
      </c>
      <c r="G16" s="29">
        <f t="shared" si="15"/>
        <v>280</v>
      </c>
      <c r="H16" s="30">
        <f t="shared" si="16"/>
        <v>0</v>
      </c>
      <c r="I16" s="28">
        <v>0</v>
      </c>
      <c r="J16" s="29">
        <f t="shared" si="17"/>
        <v>214</v>
      </c>
      <c r="K16" s="30">
        <f t="shared" si="18"/>
        <v>0</v>
      </c>
      <c r="L16" s="28">
        <v>0</v>
      </c>
      <c r="M16" s="29">
        <f t="shared" si="19"/>
        <v>162</v>
      </c>
      <c r="N16" s="30">
        <f t="shared" si="20"/>
        <v>0</v>
      </c>
      <c r="O16" s="28">
        <v>10</v>
      </c>
      <c r="P16" s="29">
        <f t="shared" si="21"/>
        <v>131</v>
      </c>
      <c r="Q16" s="30">
        <f t="shared" si="22"/>
        <v>1310</v>
      </c>
      <c r="R16" s="31">
        <f t="shared" si="23"/>
        <v>10</v>
      </c>
      <c r="S16" s="32">
        <f t="shared" si="24"/>
        <v>1310</v>
      </c>
      <c r="T16" s="33" t="str">
        <f t="shared" si="25"/>
        <v/>
      </c>
    </row>
    <row r="17" spans="2:20" s="34" customFormat="1" x14ac:dyDescent="0.3">
      <c r="B17" s="14" t="s">
        <v>173</v>
      </c>
      <c r="C17" s="19" t="s">
        <v>14</v>
      </c>
      <c r="D17" s="42" t="str">
        <f t="shared" si="13"/>
        <v>Radboud University</v>
      </c>
      <c r="E17" s="42" t="str">
        <f t="shared" si="14"/>
        <v>Netherlands</v>
      </c>
      <c r="F17" s="28">
        <v>0</v>
      </c>
      <c r="G17" s="29">
        <f t="shared" si="15"/>
        <v>294</v>
      </c>
      <c r="H17" s="30">
        <f t="shared" si="16"/>
        <v>0</v>
      </c>
      <c r="I17" s="28">
        <v>0</v>
      </c>
      <c r="J17" s="29">
        <f t="shared" si="17"/>
        <v>241</v>
      </c>
      <c r="K17" s="30">
        <f t="shared" si="18"/>
        <v>0</v>
      </c>
      <c r="L17" s="28">
        <v>0</v>
      </c>
      <c r="M17" s="29">
        <f t="shared" si="19"/>
        <v>190</v>
      </c>
      <c r="N17" s="30">
        <f t="shared" si="20"/>
        <v>0</v>
      </c>
      <c r="O17" s="28">
        <v>10</v>
      </c>
      <c r="P17" s="29">
        <f t="shared" si="21"/>
        <v>157</v>
      </c>
      <c r="Q17" s="30">
        <f t="shared" si="22"/>
        <v>1570</v>
      </c>
      <c r="R17" s="31">
        <f t="shared" si="23"/>
        <v>10</v>
      </c>
      <c r="S17" s="32">
        <f t="shared" si="24"/>
        <v>1570</v>
      </c>
      <c r="T17" s="33" t="str">
        <f t="shared" si="25"/>
        <v/>
      </c>
    </row>
    <row r="18" spans="2:20" s="34" customFormat="1" x14ac:dyDescent="0.3">
      <c r="B18" s="14" t="s">
        <v>173</v>
      </c>
      <c r="C18" s="19" t="s">
        <v>19</v>
      </c>
      <c r="D18" s="42" t="str">
        <f t="shared" si="13"/>
        <v>EdukaMont</v>
      </c>
      <c r="E18" s="42" t="str">
        <f t="shared" si="14"/>
        <v>Montenegro</v>
      </c>
      <c r="F18" s="28">
        <v>0</v>
      </c>
      <c r="G18" s="29">
        <f t="shared" si="15"/>
        <v>108</v>
      </c>
      <c r="H18" s="30">
        <f t="shared" si="16"/>
        <v>0</v>
      </c>
      <c r="I18" s="28">
        <v>0</v>
      </c>
      <c r="J18" s="29">
        <f t="shared" si="17"/>
        <v>80</v>
      </c>
      <c r="K18" s="30">
        <f t="shared" si="18"/>
        <v>0</v>
      </c>
      <c r="L18" s="28">
        <v>0</v>
      </c>
      <c r="M18" s="29">
        <f t="shared" si="19"/>
        <v>57</v>
      </c>
      <c r="N18" s="30">
        <f t="shared" si="20"/>
        <v>0</v>
      </c>
      <c r="O18" s="28">
        <v>10</v>
      </c>
      <c r="P18" s="29">
        <f t="shared" si="21"/>
        <v>45</v>
      </c>
      <c r="Q18" s="30">
        <f t="shared" si="22"/>
        <v>450</v>
      </c>
      <c r="R18" s="31">
        <f t="shared" si="23"/>
        <v>10</v>
      </c>
      <c r="S18" s="32">
        <f t="shared" si="24"/>
        <v>450</v>
      </c>
      <c r="T18" s="33" t="str">
        <f t="shared" si="25"/>
        <v/>
      </c>
    </row>
    <row r="19" spans="2:20" s="34" customFormat="1" x14ac:dyDescent="0.3">
      <c r="B19" s="14" t="s">
        <v>173</v>
      </c>
      <c r="C19" s="19" t="s">
        <v>15</v>
      </c>
      <c r="D19" s="42" t="str">
        <f t="shared" si="13"/>
        <v>Universidad de Salamanca</v>
      </c>
      <c r="E19" s="42" t="str">
        <f t="shared" si="14"/>
        <v>Spain</v>
      </c>
      <c r="F19" s="28">
        <v>0</v>
      </c>
      <c r="G19" s="29">
        <f t="shared" si="15"/>
        <v>164</v>
      </c>
      <c r="H19" s="30">
        <f t="shared" si="16"/>
        <v>0</v>
      </c>
      <c r="I19" s="28">
        <v>0</v>
      </c>
      <c r="J19" s="29">
        <f t="shared" si="17"/>
        <v>137</v>
      </c>
      <c r="K19" s="30">
        <f t="shared" si="18"/>
        <v>0</v>
      </c>
      <c r="L19" s="28">
        <v>0</v>
      </c>
      <c r="M19" s="29">
        <f t="shared" si="19"/>
        <v>102</v>
      </c>
      <c r="N19" s="30">
        <f t="shared" si="20"/>
        <v>0</v>
      </c>
      <c r="O19" s="28">
        <v>10</v>
      </c>
      <c r="P19" s="29">
        <f t="shared" si="21"/>
        <v>78</v>
      </c>
      <c r="Q19" s="30">
        <f t="shared" si="22"/>
        <v>780</v>
      </c>
      <c r="R19" s="31">
        <f t="shared" si="23"/>
        <v>10</v>
      </c>
      <c r="S19" s="32">
        <f t="shared" si="24"/>
        <v>780</v>
      </c>
      <c r="T19" s="33" t="str">
        <f t="shared" si="25"/>
        <v/>
      </c>
    </row>
    <row r="20" spans="2:20" s="34" customFormat="1" x14ac:dyDescent="0.3">
      <c r="B20" s="14" t="s">
        <v>173</v>
      </c>
      <c r="C20" s="19" t="s">
        <v>156</v>
      </c>
      <c r="D20" s="42" t="str">
        <f t="shared" si="13"/>
        <v>Enterprise Ireland</v>
      </c>
      <c r="E20" s="42" t="str">
        <f t="shared" si="14"/>
        <v>Ireland</v>
      </c>
      <c r="F20" s="28">
        <v>0</v>
      </c>
      <c r="G20" s="29">
        <f t="shared" si="15"/>
        <v>294</v>
      </c>
      <c r="H20" s="30">
        <f t="shared" si="16"/>
        <v>0</v>
      </c>
      <c r="I20" s="28">
        <v>0</v>
      </c>
      <c r="J20" s="29">
        <f t="shared" si="17"/>
        <v>241</v>
      </c>
      <c r="K20" s="30">
        <f t="shared" si="18"/>
        <v>0</v>
      </c>
      <c r="L20" s="28">
        <v>0</v>
      </c>
      <c r="M20" s="29">
        <f t="shared" si="19"/>
        <v>190</v>
      </c>
      <c r="N20" s="30">
        <f t="shared" si="20"/>
        <v>0</v>
      </c>
      <c r="O20" s="28">
        <v>10</v>
      </c>
      <c r="P20" s="29">
        <f t="shared" si="21"/>
        <v>157</v>
      </c>
      <c r="Q20" s="30">
        <f t="shared" si="22"/>
        <v>1570</v>
      </c>
      <c r="R20" s="31">
        <f t="shared" si="23"/>
        <v>10</v>
      </c>
      <c r="S20" s="32">
        <f t="shared" si="24"/>
        <v>1570</v>
      </c>
      <c r="T20" s="33" t="str">
        <f t="shared" si="25"/>
        <v/>
      </c>
    </row>
    <row r="21" spans="2:20" s="34" customFormat="1" x14ac:dyDescent="0.3">
      <c r="B21" s="14" t="s">
        <v>173</v>
      </c>
      <c r="C21" s="19" t="s">
        <v>16</v>
      </c>
      <c r="D21" s="42" t="str">
        <f t="shared" si="13"/>
        <v>University of Vienna</v>
      </c>
      <c r="E21" s="42" t="str">
        <f t="shared" si="14"/>
        <v>Austria</v>
      </c>
      <c r="F21" s="28">
        <v>0</v>
      </c>
      <c r="G21" s="29">
        <f t="shared" si="15"/>
        <v>294</v>
      </c>
      <c r="H21" s="30">
        <f t="shared" si="16"/>
        <v>0</v>
      </c>
      <c r="I21" s="28">
        <v>0</v>
      </c>
      <c r="J21" s="29">
        <f t="shared" si="17"/>
        <v>241</v>
      </c>
      <c r="K21" s="30">
        <f t="shared" si="18"/>
        <v>0</v>
      </c>
      <c r="L21" s="28">
        <v>0</v>
      </c>
      <c r="M21" s="29">
        <f t="shared" si="19"/>
        <v>190</v>
      </c>
      <c r="N21" s="30">
        <f t="shared" si="20"/>
        <v>0</v>
      </c>
      <c r="O21" s="28">
        <v>10</v>
      </c>
      <c r="P21" s="29">
        <f t="shared" si="21"/>
        <v>157</v>
      </c>
      <c r="Q21" s="30">
        <f t="shared" si="22"/>
        <v>1570</v>
      </c>
      <c r="R21" s="31">
        <f t="shared" si="23"/>
        <v>10</v>
      </c>
      <c r="S21" s="32">
        <f t="shared" si="24"/>
        <v>1570</v>
      </c>
      <c r="T21" s="33" t="str">
        <f t="shared" si="25"/>
        <v/>
      </c>
    </row>
    <row r="22" spans="2:20" s="34" customFormat="1" x14ac:dyDescent="0.3">
      <c r="B22" s="14" t="s">
        <v>173</v>
      </c>
      <c r="C22" s="19" t="s">
        <v>17</v>
      </c>
      <c r="D22" s="42" t="str">
        <f t="shared" si="13"/>
        <v>Stockholm University</v>
      </c>
      <c r="E22" s="42" t="str">
        <f t="shared" si="14"/>
        <v>Sweden</v>
      </c>
      <c r="F22" s="28">
        <v>0</v>
      </c>
      <c r="G22" s="29">
        <f t="shared" si="15"/>
        <v>294</v>
      </c>
      <c r="H22" s="30">
        <f t="shared" si="16"/>
        <v>0</v>
      </c>
      <c r="I22" s="28">
        <v>0</v>
      </c>
      <c r="J22" s="29">
        <f t="shared" si="17"/>
        <v>241</v>
      </c>
      <c r="K22" s="30">
        <f t="shared" si="18"/>
        <v>0</v>
      </c>
      <c r="L22" s="28">
        <v>0</v>
      </c>
      <c r="M22" s="29">
        <f t="shared" si="19"/>
        <v>190</v>
      </c>
      <c r="N22" s="30">
        <f t="shared" si="20"/>
        <v>0</v>
      </c>
      <c r="O22" s="28">
        <v>10</v>
      </c>
      <c r="P22" s="29">
        <f t="shared" si="21"/>
        <v>157</v>
      </c>
      <c r="Q22" s="30">
        <f t="shared" si="22"/>
        <v>1570</v>
      </c>
      <c r="R22" s="31">
        <f t="shared" si="23"/>
        <v>10</v>
      </c>
      <c r="S22" s="32">
        <f t="shared" si="24"/>
        <v>1570</v>
      </c>
      <c r="T22" s="33" t="str">
        <f t="shared" si="25"/>
        <v/>
      </c>
    </row>
    <row r="23" spans="2:20" s="34" customFormat="1" x14ac:dyDescent="0.3">
      <c r="B23" s="14" t="s">
        <v>173</v>
      </c>
      <c r="C23" s="19" t="s">
        <v>20</v>
      </c>
      <c r="D23" s="42" t="str">
        <f t="shared" si="13"/>
        <v>Uniwersytet Warszawski</v>
      </c>
      <c r="E23" s="42" t="str">
        <f t="shared" si="14"/>
        <v>Poland</v>
      </c>
      <c r="F23" s="28">
        <v>0</v>
      </c>
      <c r="G23" s="29">
        <f t="shared" si="15"/>
        <v>88</v>
      </c>
      <c r="H23" s="30">
        <f t="shared" si="16"/>
        <v>0</v>
      </c>
      <c r="I23" s="28">
        <v>0</v>
      </c>
      <c r="J23" s="29">
        <f t="shared" si="17"/>
        <v>74</v>
      </c>
      <c r="K23" s="30">
        <f t="shared" si="18"/>
        <v>0</v>
      </c>
      <c r="L23" s="28">
        <v>0</v>
      </c>
      <c r="M23" s="29">
        <f t="shared" si="19"/>
        <v>55</v>
      </c>
      <c r="N23" s="30">
        <f t="shared" si="20"/>
        <v>0</v>
      </c>
      <c r="O23" s="28">
        <v>10</v>
      </c>
      <c r="P23" s="29">
        <f t="shared" si="21"/>
        <v>39</v>
      </c>
      <c r="Q23" s="30">
        <f t="shared" si="22"/>
        <v>390</v>
      </c>
      <c r="R23" s="31">
        <f t="shared" si="23"/>
        <v>10</v>
      </c>
      <c r="S23" s="32">
        <f t="shared" si="24"/>
        <v>390</v>
      </c>
      <c r="T23" s="33" t="str">
        <f t="shared" si="25"/>
        <v/>
      </c>
    </row>
    <row r="24" spans="2:20" s="34" customFormat="1" x14ac:dyDescent="0.3">
      <c r="B24" s="14" t="s">
        <v>173</v>
      </c>
      <c r="C24" s="19" t="s">
        <v>21</v>
      </c>
      <c r="D24" s="42" t="str">
        <f t="shared" si="13"/>
        <v>InterSoft Education</v>
      </c>
      <c r="E24" s="42" t="str">
        <f t="shared" si="14"/>
        <v>Bosnia and Herzegovina</v>
      </c>
      <c r="F24" s="28">
        <v>0</v>
      </c>
      <c r="G24" s="29">
        <f t="shared" si="15"/>
        <v>108</v>
      </c>
      <c r="H24" s="30">
        <f t="shared" si="16"/>
        <v>0</v>
      </c>
      <c r="I24" s="28">
        <v>0</v>
      </c>
      <c r="J24" s="29">
        <f t="shared" si="17"/>
        <v>80</v>
      </c>
      <c r="K24" s="30">
        <f t="shared" si="18"/>
        <v>0</v>
      </c>
      <c r="L24" s="28">
        <v>0</v>
      </c>
      <c r="M24" s="29">
        <f t="shared" si="19"/>
        <v>57</v>
      </c>
      <c r="N24" s="30">
        <f t="shared" si="20"/>
        <v>0</v>
      </c>
      <c r="O24" s="28">
        <v>10</v>
      </c>
      <c r="P24" s="29">
        <f t="shared" si="21"/>
        <v>45</v>
      </c>
      <c r="Q24" s="30">
        <f t="shared" si="22"/>
        <v>450</v>
      </c>
      <c r="R24" s="31">
        <f t="shared" si="23"/>
        <v>10</v>
      </c>
      <c r="S24" s="32">
        <f t="shared" si="24"/>
        <v>450</v>
      </c>
      <c r="T24" s="33" t="str">
        <f t="shared" si="25"/>
        <v/>
      </c>
    </row>
    <row r="25" spans="2:20" s="34" customFormat="1" x14ac:dyDescent="0.3">
      <c r="B25" s="14" t="s">
        <v>172</v>
      </c>
      <c r="C25" s="19" t="s">
        <v>8</v>
      </c>
      <c r="D25" s="42" t="str">
        <f t="shared" si="13"/>
        <v>FifthElement</v>
      </c>
      <c r="E25" s="42" t="str">
        <f t="shared" si="14"/>
        <v>Serbia</v>
      </c>
      <c r="F25" s="28">
        <v>19</v>
      </c>
      <c r="G25" s="29">
        <f t="shared" si="15"/>
        <v>88</v>
      </c>
      <c r="H25" s="30">
        <f t="shared" si="16"/>
        <v>1672</v>
      </c>
      <c r="I25" s="28">
        <v>37</v>
      </c>
      <c r="J25" s="29">
        <f t="shared" si="17"/>
        <v>74</v>
      </c>
      <c r="K25" s="30">
        <f t="shared" si="18"/>
        <v>2738</v>
      </c>
      <c r="L25" s="28">
        <v>0</v>
      </c>
      <c r="M25" s="29">
        <f t="shared" si="19"/>
        <v>55</v>
      </c>
      <c r="N25" s="30">
        <f t="shared" si="20"/>
        <v>0</v>
      </c>
      <c r="O25" s="28">
        <v>0</v>
      </c>
      <c r="P25" s="29">
        <f t="shared" si="21"/>
        <v>39</v>
      </c>
      <c r="Q25" s="30">
        <f t="shared" si="22"/>
        <v>0</v>
      </c>
      <c r="R25" s="31">
        <f t="shared" si="23"/>
        <v>56</v>
      </c>
      <c r="S25" s="32">
        <f t="shared" si="24"/>
        <v>4410</v>
      </c>
      <c r="T25" s="33" t="str">
        <f t="shared" si="25"/>
        <v/>
      </c>
    </row>
    <row r="26" spans="2:20" s="34" customFormat="1" x14ac:dyDescent="0.3">
      <c r="B26" s="14" t="s">
        <v>172</v>
      </c>
      <c r="C26" s="19" t="s">
        <v>12</v>
      </c>
      <c r="D26" s="42" t="str">
        <f t="shared" si="13"/>
        <v>Ministarstvo prosvete, nauke I tehnoloskog razvoja</v>
      </c>
      <c r="E26" s="42" t="str">
        <f t="shared" si="14"/>
        <v>Serbia</v>
      </c>
      <c r="F26" s="28">
        <v>143</v>
      </c>
      <c r="G26" s="29">
        <f t="shared" si="15"/>
        <v>88</v>
      </c>
      <c r="H26" s="30">
        <f t="shared" si="16"/>
        <v>12584</v>
      </c>
      <c r="I26" s="28">
        <v>6</v>
      </c>
      <c r="J26" s="29">
        <f t="shared" si="17"/>
        <v>74</v>
      </c>
      <c r="K26" s="30">
        <f t="shared" si="18"/>
        <v>444</v>
      </c>
      <c r="L26" s="28">
        <v>56</v>
      </c>
      <c r="M26" s="29">
        <f t="shared" si="19"/>
        <v>55</v>
      </c>
      <c r="N26" s="30">
        <f t="shared" si="20"/>
        <v>3080</v>
      </c>
      <c r="O26" s="28">
        <v>146</v>
      </c>
      <c r="P26" s="29">
        <f t="shared" si="21"/>
        <v>39</v>
      </c>
      <c r="Q26" s="30">
        <f t="shared" si="22"/>
        <v>5694</v>
      </c>
      <c r="R26" s="31">
        <f t="shared" si="23"/>
        <v>351</v>
      </c>
      <c r="S26" s="32">
        <f t="shared" si="24"/>
        <v>21802</v>
      </c>
      <c r="T26" s="33" t="str">
        <f t="shared" si="25"/>
        <v/>
      </c>
    </row>
    <row r="27" spans="2:20" s="34" customFormat="1" x14ac:dyDescent="0.3">
      <c r="B27" s="14" t="s">
        <v>172</v>
      </c>
      <c r="C27" s="19" t="s">
        <v>11</v>
      </c>
      <c r="D27" s="42" t="str">
        <f t="shared" si="13"/>
        <v>Drustvo za akedmski razvoj (DAR)</v>
      </c>
      <c r="E27" s="42" t="str">
        <f t="shared" si="14"/>
        <v>Serbia</v>
      </c>
      <c r="F27" s="28">
        <v>3</v>
      </c>
      <c r="G27" s="29">
        <f t="shared" si="15"/>
        <v>88</v>
      </c>
      <c r="H27" s="30">
        <f t="shared" si="16"/>
        <v>264</v>
      </c>
      <c r="I27" s="28">
        <v>6</v>
      </c>
      <c r="J27" s="29">
        <f t="shared" si="17"/>
        <v>74</v>
      </c>
      <c r="K27" s="30">
        <f t="shared" si="18"/>
        <v>444</v>
      </c>
      <c r="L27" s="28">
        <v>0</v>
      </c>
      <c r="M27" s="29">
        <f t="shared" si="19"/>
        <v>55</v>
      </c>
      <c r="N27" s="30">
        <f t="shared" si="20"/>
        <v>0</v>
      </c>
      <c r="O27" s="28">
        <v>0</v>
      </c>
      <c r="P27" s="29">
        <f t="shared" si="21"/>
        <v>39</v>
      </c>
      <c r="Q27" s="30">
        <f t="shared" si="22"/>
        <v>0</v>
      </c>
      <c r="R27" s="31">
        <f t="shared" si="23"/>
        <v>9</v>
      </c>
      <c r="S27" s="32">
        <f t="shared" si="24"/>
        <v>708</v>
      </c>
      <c r="T27" s="33" t="str">
        <f t="shared" si="25"/>
        <v/>
      </c>
    </row>
    <row r="28" spans="2:20" s="34" customFormat="1" x14ac:dyDescent="0.3">
      <c r="B28" s="14" t="s">
        <v>172</v>
      </c>
      <c r="C28" s="19" t="s">
        <v>13</v>
      </c>
      <c r="D28" s="42" t="str">
        <f t="shared" si="13"/>
        <v>University of Helsinki</v>
      </c>
      <c r="E28" s="42" t="str">
        <f t="shared" si="14"/>
        <v>Finland</v>
      </c>
      <c r="F28" s="28">
        <v>24</v>
      </c>
      <c r="G28" s="29">
        <f t="shared" si="15"/>
        <v>280</v>
      </c>
      <c r="H28" s="30">
        <f t="shared" si="16"/>
        <v>6720</v>
      </c>
      <c r="I28" s="28">
        <v>21</v>
      </c>
      <c r="J28" s="29">
        <f t="shared" si="17"/>
        <v>214</v>
      </c>
      <c r="K28" s="30">
        <f t="shared" si="18"/>
        <v>4494</v>
      </c>
      <c r="L28" s="28">
        <v>19</v>
      </c>
      <c r="M28" s="29">
        <f t="shared" si="19"/>
        <v>162</v>
      </c>
      <c r="N28" s="30">
        <f t="shared" si="20"/>
        <v>3078</v>
      </c>
      <c r="O28" s="28">
        <v>80</v>
      </c>
      <c r="P28" s="29">
        <f t="shared" si="21"/>
        <v>131</v>
      </c>
      <c r="Q28" s="30">
        <f t="shared" si="22"/>
        <v>10480</v>
      </c>
      <c r="R28" s="31">
        <f t="shared" si="23"/>
        <v>144</v>
      </c>
      <c r="S28" s="32">
        <f t="shared" si="24"/>
        <v>24772</v>
      </c>
      <c r="T28" s="33" t="str">
        <f t="shared" si="25"/>
        <v/>
      </c>
    </row>
    <row r="29" spans="2:20" s="34" customFormat="1" x14ac:dyDescent="0.3">
      <c r="B29" s="14" t="s">
        <v>172</v>
      </c>
      <c r="C29" s="19" t="s">
        <v>18</v>
      </c>
      <c r="D29" s="42" t="str">
        <f t="shared" si="13"/>
        <v>IMEC</v>
      </c>
      <c r="E29" s="42" t="str">
        <f t="shared" si="14"/>
        <v>Belgium</v>
      </c>
      <c r="F29" s="28">
        <v>3</v>
      </c>
      <c r="G29" s="29">
        <f t="shared" si="15"/>
        <v>280</v>
      </c>
      <c r="H29" s="30">
        <f t="shared" si="16"/>
        <v>840</v>
      </c>
      <c r="I29" s="28">
        <v>6</v>
      </c>
      <c r="J29" s="29">
        <f t="shared" si="17"/>
        <v>214</v>
      </c>
      <c r="K29" s="30">
        <f t="shared" si="18"/>
        <v>1284</v>
      </c>
      <c r="L29" s="28">
        <v>0</v>
      </c>
      <c r="M29" s="29">
        <f t="shared" si="19"/>
        <v>162</v>
      </c>
      <c r="N29" s="30">
        <f t="shared" si="20"/>
        <v>0</v>
      </c>
      <c r="O29" s="28">
        <v>6</v>
      </c>
      <c r="P29" s="29">
        <f t="shared" si="21"/>
        <v>131</v>
      </c>
      <c r="Q29" s="30">
        <f t="shared" si="22"/>
        <v>786</v>
      </c>
      <c r="R29" s="31">
        <f t="shared" si="23"/>
        <v>15</v>
      </c>
      <c r="S29" s="32">
        <f t="shared" si="24"/>
        <v>2910</v>
      </c>
      <c r="T29" s="33" t="str">
        <f t="shared" si="25"/>
        <v/>
      </c>
    </row>
    <row r="30" spans="2:20" s="34" customFormat="1" x14ac:dyDescent="0.3">
      <c r="B30" s="14" t="s">
        <v>172</v>
      </c>
      <c r="C30" s="19" t="s">
        <v>14</v>
      </c>
      <c r="D30" s="42" t="str">
        <f t="shared" si="13"/>
        <v>Radboud University</v>
      </c>
      <c r="E30" s="42" t="str">
        <f t="shared" si="14"/>
        <v>Netherlands</v>
      </c>
      <c r="F30" s="28">
        <v>0</v>
      </c>
      <c r="G30" s="29">
        <f t="shared" si="15"/>
        <v>294</v>
      </c>
      <c r="H30" s="30">
        <f t="shared" si="16"/>
        <v>0</v>
      </c>
      <c r="I30" s="28">
        <v>0</v>
      </c>
      <c r="J30" s="29">
        <f t="shared" si="17"/>
        <v>241</v>
      </c>
      <c r="K30" s="30">
        <f t="shared" si="18"/>
        <v>0</v>
      </c>
      <c r="L30" s="28">
        <v>0</v>
      </c>
      <c r="M30" s="29">
        <f t="shared" si="19"/>
        <v>190</v>
      </c>
      <c r="N30" s="30">
        <f t="shared" si="20"/>
        <v>0</v>
      </c>
      <c r="O30" s="28">
        <v>6</v>
      </c>
      <c r="P30" s="29">
        <f t="shared" si="21"/>
        <v>157</v>
      </c>
      <c r="Q30" s="30">
        <f t="shared" si="22"/>
        <v>942</v>
      </c>
      <c r="R30" s="31">
        <f t="shared" si="23"/>
        <v>6</v>
      </c>
      <c r="S30" s="32">
        <f t="shared" si="24"/>
        <v>942</v>
      </c>
      <c r="T30" s="33" t="str">
        <f t="shared" si="25"/>
        <v/>
      </c>
    </row>
    <row r="31" spans="2:20" s="34" customFormat="1" x14ac:dyDescent="0.3">
      <c r="B31" s="14" t="s">
        <v>172</v>
      </c>
      <c r="C31" s="19" t="s">
        <v>19</v>
      </c>
      <c r="D31" s="42" t="str">
        <f t="shared" si="13"/>
        <v>EdukaMont</v>
      </c>
      <c r="E31" s="42" t="str">
        <f t="shared" si="14"/>
        <v>Montenegro</v>
      </c>
      <c r="F31" s="28">
        <v>0</v>
      </c>
      <c r="G31" s="29">
        <f t="shared" si="15"/>
        <v>108</v>
      </c>
      <c r="H31" s="30">
        <f t="shared" si="16"/>
        <v>0</v>
      </c>
      <c r="I31" s="28">
        <v>0</v>
      </c>
      <c r="J31" s="29">
        <f t="shared" si="17"/>
        <v>80</v>
      </c>
      <c r="K31" s="30">
        <f t="shared" si="18"/>
        <v>0</v>
      </c>
      <c r="L31" s="28">
        <v>0</v>
      </c>
      <c r="M31" s="29">
        <f t="shared" si="19"/>
        <v>57</v>
      </c>
      <c r="N31" s="30">
        <f t="shared" si="20"/>
        <v>0</v>
      </c>
      <c r="O31" s="28">
        <v>6</v>
      </c>
      <c r="P31" s="29">
        <f t="shared" si="21"/>
        <v>45</v>
      </c>
      <c r="Q31" s="30">
        <f t="shared" si="22"/>
        <v>270</v>
      </c>
      <c r="R31" s="31">
        <f t="shared" si="23"/>
        <v>6</v>
      </c>
      <c r="S31" s="32">
        <f t="shared" si="24"/>
        <v>270</v>
      </c>
      <c r="T31" s="33" t="str">
        <f t="shared" si="25"/>
        <v/>
      </c>
    </row>
    <row r="32" spans="2:20" s="34" customFormat="1" x14ac:dyDescent="0.3">
      <c r="B32" s="14" t="s">
        <v>172</v>
      </c>
      <c r="C32" s="19" t="s">
        <v>9</v>
      </c>
      <c r="D32" s="42" t="str">
        <f t="shared" si="13"/>
        <v>Univerzitet u Nisu</v>
      </c>
      <c r="E32" s="42" t="str">
        <f t="shared" si="14"/>
        <v>Serbia</v>
      </c>
      <c r="F32" s="28">
        <v>3</v>
      </c>
      <c r="G32" s="29">
        <f t="shared" si="15"/>
        <v>88</v>
      </c>
      <c r="H32" s="30">
        <f t="shared" si="16"/>
        <v>264</v>
      </c>
      <c r="I32" s="28">
        <v>6</v>
      </c>
      <c r="J32" s="29">
        <f t="shared" si="17"/>
        <v>74</v>
      </c>
      <c r="K32" s="30">
        <f t="shared" si="18"/>
        <v>444</v>
      </c>
      <c r="L32" s="28">
        <v>0</v>
      </c>
      <c r="M32" s="29">
        <f t="shared" si="19"/>
        <v>55</v>
      </c>
      <c r="N32" s="30">
        <f t="shared" si="20"/>
        <v>0</v>
      </c>
      <c r="O32" s="28">
        <v>0</v>
      </c>
      <c r="P32" s="29">
        <f t="shared" si="21"/>
        <v>39</v>
      </c>
      <c r="Q32" s="30">
        <f t="shared" si="22"/>
        <v>0</v>
      </c>
      <c r="R32" s="31">
        <f t="shared" si="23"/>
        <v>9</v>
      </c>
      <c r="S32" s="32">
        <f t="shared" si="24"/>
        <v>708</v>
      </c>
      <c r="T32" s="33" t="str">
        <f t="shared" si="25"/>
        <v/>
      </c>
    </row>
    <row r="33" spans="2:20" s="34" customFormat="1" x14ac:dyDescent="0.3">
      <c r="B33" s="14" t="s">
        <v>172</v>
      </c>
      <c r="C33" s="19" t="s">
        <v>156</v>
      </c>
      <c r="D33" s="42" t="str">
        <f t="shared" si="13"/>
        <v>Enterprise Ireland</v>
      </c>
      <c r="E33" s="42" t="str">
        <f t="shared" si="14"/>
        <v>Ireland</v>
      </c>
      <c r="F33" s="28">
        <v>3</v>
      </c>
      <c r="G33" s="29">
        <f t="shared" si="15"/>
        <v>294</v>
      </c>
      <c r="H33" s="30">
        <f t="shared" si="16"/>
        <v>882</v>
      </c>
      <c r="I33" s="28">
        <v>6</v>
      </c>
      <c r="J33" s="29">
        <f t="shared" si="17"/>
        <v>241</v>
      </c>
      <c r="K33" s="30">
        <f t="shared" si="18"/>
        <v>1446</v>
      </c>
      <c r="L33" s="28">
        <v>0</v>
      </c>
      <c r="M33" s="29">
        <f t="shared" si="19"/>
        <v>190</v>
      </c>
      <c r="N33" s="30">
        <f t="shared" si="20"/>
        <v>0</v>
      </c>
      <c r="O33" s="28">
        <v>0</v>
      </c>
      <c r="P33" s="29">
        <f t="shared" si="21"/>
        <v>157</v>
      </c>
      <c r="Q33" s="30">
        <f t="shared" si="22"/>
        <v>0</v>
      </c>
      <c r="R33" s="31">
        <f t="shared" si="23"/>
        <v>9</v>
      </c>
      <c r="S33" s="32">
        <f t="shared" si="24"/>
        <v>2328</v>
      </c>
      <c r="T33" s="33" t="str">
        <f t="shared" si="25"/>
        <v/>
      </c>
    </row>
    <row r="34" spans="2:20" s="34" customFormat="1" x14ac:dyDescent="0.3">
      <c r="B34" s="14" t="s">
        <v>172</v>
      </c>
      <c r="C34" s="19" t="s">
        <v>16</v>
      </c>
      <c r="D34" s="42" t="str">
        <f t="shared" si="13"/>
        <v>University of Vienna</v>
      </c>
      <c r="E34" s="42" t="str">
        <f t="shared" si="14"/>
        <v>Austria</v>
      </c>
      <c r="F34" s="28">
        <v>0</v>
      </c>
      <c r="G34" s="29">
        <f t="shared" si="15"/>
        <v>294</v>
      </c>
      <c r="H34" s="30">
        <f t="shared" si="16"/>
        <v>0</v>
      </c>
      <c r="I34" s="28">
        <v>0</v>
      </c>
      <c r="J34" s="29">
        <f t="shared" si="17"/>
        <v>241</v>
      </c>
      <c r="K34" s="30">
        <f t="shared" si="18"/>
        <v>0</v>
      </c>
      <c r="L34" s="28">
        <v>0</v>
      </c>
      <c r="M34" s="29">
        <f t="shared" si="19"/>
        <v>190</v>
      </c>
      <c r="N34" s="30">
        <f t="shared" si="20"/>
        <v>0</v>
      </c>
      <c r="O34" s="28">
        <v>6</v>
      </c>
      <c r="P34" s="29">
        <f t="shared" si="21"/>
        <v>157</v>
      </c>
      <c r="Q34" s="30">
        <f t="shared" si="22"/>
        <v>942</v>
      </c>
      <c r="R34" s="31">
        <f t="shared" si="23"/>
        <v>6</v>
      </c>
      <c r="S34" s="32">
        <f t="shared" si="24"/>
        <v>942</v>
      </c>
      <c r="T34" s="33" t="str">
        <f t="shared" si="25"/>
        <v/>
      </c>
    </row>
    <row r="35" spans="2:20" s="34" customFormat="1" x14ac:dyDescent="0.3">
      <c r="B35" s="14" t="s">
        <v>172</v>
      </c>
      <c r="C35" s="19" t="s">
        <v>20</v>
      </c>
      <c r="D35" s="42" t="str">
        <f t="shared" si="13"/>
        <v>Uniwersytet Warszawski</v>
      </c>
      <c r="E35" s="42" t="str">
        <f t="shared" si="14"/>
        <v>Poland</v>
      </c>
      <c r="F35" s="28">
        <v>0</v>
      </c>
      <c r="G35" s="29">
        <f t="shared" si="15"/>
        <v>88</v>
      </c>
      <c r="H35" s="30">
        <f t="shared" si="16"/>
        <v>0</v>
      </c>
      <c r="I35" s="28">
        <v>0</v>
      </c>
      <c r="J35" s="29">
        <f t="shared" si="17"/>
        <v>74</v>
      </c>
      <c r="K35" s="30">
        <f t="shared" si="18"/>
        <v>0</v>
      </c>
      <c r="L35" s="28">
        <v>0</v>
      </c>
      <c r="M35" s="29">
        <f t="shared" si="19"/>
        <v>55</v>
      </c>
      <c r="N35" s="30">
        <f t="shared" si="20"/>
        <v>0</v>
      </c>
      <c r="O35" s="28">
        <v>6</v>
      </c>
      <c r="P35" s="29">
        <f t="shared" si="21"/>
        <v>39</v>
      </c>
      <c r="Q35" s="30">
        <f t="shared" si="22"/>
        <v>234</v>
      </c>
      <c r="R35" s="31">
        <f t="shared" si="23"/>
        <v>6</v>
      </c>
      <c r="S35" s="32">
        <f t="shared" si="24"/>
        <v>234</v>
      </c>
      <c r="T35" s="33" t="str">
        <f t="shared" si="25"/>
        <v/>
      </c>
    </row>
    <row r="36" spans="2:20" s="34" customFormat="1" x14ac:dyDescent="0.3">
      <c r="B36" s="14" t="s">
        <v>172</v>
      </c>
      <c r="C36" s="19" t="s">
        <v>17</v>
      </c>
      <c r="D36" s="42" t="str">
        <f t="shared" si="13"/>
        <v>Stockholm University</v>
      </c>
      <c r="E36" s="42" t="str">
        <f t="shared" si="14"/>
        <v>Sweden</v>
      </c>
      <c r="F36" s="28">
        <v>0</v>
      </c>
      <c r="G36" s="29">
        <f t="shared" si="15"/>
        <v>294</v>
      </c>
      <c r="H36" s="30">
        <f t="shared" si="16"/>
        <v>0</v>
      </c>
      <c r="I36" s="28">
        <v>0</v>
      </c>
      <c r="J36" s="29">
        <f t="shared" si="17"/>
        <v>241</v>
      </c>
      <c r="K36" s="30">
        <f t="shared" si="18"/>
        <v>0</v>
      </c>
      <c r="L36" s="28">
        <v>0</v>
      </c>
      <c r="M36" s="29">
        <f t="shared" si="19"/>
        <v>190</v>
      </c>
      <c r="N36" s="30">
        <f t="shared" si="20"/>
        <v>0</v>
      </c>
      <c r="O36" s="28">
        <v>6</v>
      </c>
      <c r="P36" s="29">
        <f t="shared" si="21"/>
        <v>157</v>
      </c>
      <c r="Q36" s="30">
        <f t="shared" si="22"/>
        <v>942</v>
      </c>
      <c r="R36" s="31">
        <f t="shared" si="23"/>
        <v>6</v>
      </c>
      <c r="S36" s="32">
        <f t="shared" si="24"/>
        <v>942</v>
      </c>
      <c r="T36" s="33" t="str">
        <f t="shared" si="25"/>
        <v/>
      </c>
    </row>
    <row r="37" spans="2:20" s="34" customFormat="1" x14ac:dyDescent="0.3">
      <c r="B37" s="14" t="s">
        <v>172</v>
      </c>
      <c r="C37" s="19" t="s">
        <v>21</v>
      </c>
      <c r="D37" s="42" t="str">
        <f t="shared" si="13"/>
        <v>InterSoft Education</v>
      </c>
      <c r="E37" s="42" t="str">
        <f t="shared" si="14"/>
        <v>Bosnia and Herzegovina</v>
      </c>
      <c r="F37" s="28">
        <v>0</v>
      </c>
      <c r="G37" s="29">
        <f t="shared" si="15"/>
        <v>108</v>
      </c>
      <c r="H37" s="30">
        <f t="shared" si="16"/>
        <v>0</v>
      </c>
      <c r="I37" s="28">
        <v>0</v>
      </c>
      <c r="J37" s="29">
        <f t="shared" si="17"/>
        <v>80</v>
      </c>
      <c r="K37" s="30">
        <f t="shared" si="18"/>
        <v>0</v>
      </c>
      <c r="L37" s="28">
        <v>0</v>
      </c>
      <c r="M37" s="29">
        <f t="shared" si="19"/>
        <v>57</v>
      </c>
      <c r="N37" s="30">
        <f t="shared" si="20"/>
        <v>0</v>
      </c>
      <c r="O37" s="28">
        <v>6</v>
      </c>
      <c r="P37" s="29">
        <f t="shared" si="21"/>
        <v>45</v>
      </c>
      <c r="Q37" s="30">
        <f t="shared" si="22"/>
        <v>270</v>
      </c>
      <c r="R37" s="31">
        <f t="shared" si="23"/>
        <v>6</v>
      </c>
      <c r="S37" s="32">
        <f t="shared" si="24"/>
        <v>270</v>
      </c>
      <c r="T37" s="33" t="str">
        <f t="shared" si="25"/>
        <v/>
      </c>
    </row>
    <row r="38" spans="2:20" s="34" customFormat="1" x14ac:dyDescent="0.3">
      <c r="B38" s="14" t="s">
        <v>172</v>
      </c>
      <c r="C38" s="19" t="s">
        <v>10</v>
      </c>
      <c r="D38" s="42" t="str">
        <f t="shared" si="13"/>
        <v>Privredna komora Srbije</v>
      </c>
      <c r="E38" s="42" t="str">
        <f t="shared" si="14"/>
        <v>Serbia</v>
      </c>
      <c r="F38" s="28">
        <v>0</v>
      </c>
      <c r="G38" s="29">
        <f t="shared" si="15"/>
        <v>88</v>
      </c>
      <c r="H38" s="30">
        <f t="shared" si="16"/>
        <v>0</v>
      </c>
      <c r="I38" s="28">
        <v>0</v>
      </c>
      <c r="J38" s="29">
        <f t="shared" si="17"/>
        <v>74</v>
      </c>
      <c r="K38" s="30">
        <f t="shared" si="18"/>
        <v>0</v>
      </c>
      <c r="L38" s="28">
        <v>0</v>
      </c>
      <c r="M38" s="29">
        <f t="shared" si="19"/>
        <v>55</v>
      </c>
      <c r="N38" s="30">
        <f t="shared" si="20"/>
        <v>0</v>
      </c>
      <c r="O38" s="28">
        <v>6</v>
      </c>
      <c r="P38" s="29">
        <f t="shared" si="21"/>
        <v>39</v>
      </c>
      <c r="Q38" s="30">
        <f t="shared" si="22"/>
        <v>234</v>
      </c>
      <c r="R38" s="31">
        <f t="shared" si="23"/>
        <v>6</v>
      </c>
      <c r="S38" s="32">
        <f t="shared" si="24"/>
        <v>234</v>
      </c>
      <c r="T38" s="33" t="str">
        <f t="shared" si="25"/>
        <v/>
      </c>
    </row>
    <row r="39" spans="2:20" s="34" customFormat="1" x14ac:dyDescent="0.3">
      <c r="B39" s="14" t="s">
        <v>318</v>
      </c>
      <c r="C39" s="19" t="s">
        <v>12</v>
      </c>
      <c r="D39" s="42" t="str">
        <f t="shared" si="13"/>
        <v>Ministarstvo prosvete, nauke I tehnoloskog razvoja</v>
      </c>
      <c r="E39" s="42" t="str">
        <f t="shared" si="14"/>
        <v>Serbia</v>
      </c>
      <c r="F39" s="28">
        <v>60</v>
      </c>
      <c r="G39" s="29">
        <f t="shared" si="15"/>
        <v>88</v>
      </c>
      <c r="H39" s="30">
        <f t="shared" si="16"/>
        <v>5280</v>
      </c>
      <c r="I39" s="28">
        <v>0</v>
      </c>
      <c r="J39" s="29">
        <f t="shared" si="17"/>
        <v>74</v>
      </c>
      <c r="K39" s="30">
        <f t="shared" si="18"/>
        <v>0</v>
      </c>
      <c r="L39" s="28">
        <v>0</v>
      </c>
      <c r="M39" s="29">
        <f t="shared" si="19"/>
        <v>55</v>
      </c>
      <c r="N39" s="30">
        <f t="shared" si="20"/>
        <v>0</v>
      </c>
      <c r="O39" s="28">
        <v>0</v>
      </c>
      <c r="P39" s="29">
        <f t="shared" si="21"/>
        <v>39</v>
      </c>
      <c r="Q39" s="30">
        <f t="shared" si="22"/>
        <v>0</v>
      </c>
      <c r="R39" s="31">
        <f t="shared" si="23"/>
        <v>60</v>
      </c>
      <c r="S39" s="32">
        <f t="shared" si="24"/>
        <v>5280</v>
      </c>
      <c r="T39" s="33" t="str">
        <f t="shared" si="25"/>
        <v/>
      </c>
    </row>
    <row r="40" spans="2:20" s="34" customFormat="1" x14ac:dyDescent="0.3">
      <c r="B40" s="14" t="s">
        <v>318</v>
      </c>
      <c r="C40" s="19" t="s">
        <v>13</v>
      </c>
      <c r="D40" s="42" t="str">
        <f t="shared" si="13"/>
        <v>University of Helsinki</v>
      </c>
      <c r="E40" s="42" t="str">
        <f t="shared" si="14"/>
        <v>Finland</v>
      </c>
      <c r="F40" s="28">
        <v>60</v>
      </c>
      <c r="G40" s="29">
        <f t="shared" si="15"/>
        <v>280</v>
      </c>
      <c r="H40" s="30">
        <f t="shared" si="16"/>
        <v>16800</v>
      </c>
      <c r="I40" s="28">
        <v>0</v>
      </c>
      <c r="J40" s="29">
        <f t="shared" si="17"/>
        <v>214</v>
      </c>
      <c r="K40" s="30">
        <f t="shared" si="18"/>
        <v>0</v>
      </c>
      <c r="L40" s="28">
        <v>0</v>
      </c>
      <c r="M40" s="29">
        <f t="shared" si="19"/>
        <v>162</v>
      </c>
      <c r="N40" s="30">
        <f t="shared" si="20"/>
        <v>0</v>
      </c>
      <c r="O40" s="28">
        <v>0</v>
      </c>
      <c r="P40" s="29">
        <f t="shared" si="21"/>
        <v>131</v>
      </c>
      <c r="Q40" s="30">
        <f t="shared" si="22"/>
        <v>0</v>
      </c>
      <c r="R40" s="31">
        <f t="shared" si="23"/>
        <v>60</v>
      </c>
      <c r="S40" s="32">
        <f t="shared" si="24"/>
        <v>16800</v>
      </c>
      <c r="T40" s="33" t="str">
        <f t="shared" si="25"/>
        <v/>
      </c>
    </row>
    <row r="41" spans="2:20" s="34" customFormat="1" x14ac:dyDescent="0.3">
      <c r="B41" s="14" t="s">
        <v>318</v>
      </c>
      <c r="C41" s="19" t="s">
        <v>18</v>
      </c>
      <c r="D41" s="42" t="str">
        <f t="shared" si="13"/>
        <v>IMEC</v>
      </c>
      <c r="E41" s="42" t="str">
        <f t="shared" si="14"/>
        <v>Belgium</v>
      </c>
      <c r="F41" s="28">
        <v>60</v>
      </c>
      <c r="G41" s="29">
        <f t="shared" si="15"/>
        <v>280</v>
      </c>
      <c r="H41" s="30">
        <f t="shared" si="16"/>
        <v>16800</v>
      </c>
      <c r="I41" s="28">
        <v>0</v>
      </c>
      <c r="J41" s="29">
        <f t="shared" si="17"/>
        <v>214</v>
      </c>
      <c r="K41" s="30">
        <f t="shared" si="18"/>
        <v>0</v>
      </c>
      <c r="L41" s="28">
        <v>0</v>
      </c>
      <c r="M41" s="29">
        <f t="shared" si="19"/>
        <v>162</v>
      </c>
      <c r="N41" s="30">
        <f t="shared" si="20"/>
        <v>0</v>
      </c>
      <c r="O41" s="28">
        <v>0</v>
      </c>
      <c r="P41" s="29">
        <f t="shared" si="21"/>
        <v>131</v>
      </c>
      <c r="Q41" s="30">
        <f t="shared" si="22"/>
        <v>0</v>
      </c>
      <c r="R41" s="31">
        <f t="shared" si="23"/>
        <v>60</v>
      </c>
      <c r="S41" s="32">
        <f t="shared" si="24"/>
        <v>16800</v>
      </c>
      <c r="T41" s="33" t="str">
        <f t="shared" si="25"/>
        <v/>
      </c>
    </row>
    <row r="42" spans="2:20" s="34" customFormat="1" x14ac:dyDescent="0.3">
      <c r="B42" s="14" t="s">
        <v>318</v>
      </c>
      <c r="C42" s="19" t="s">
        <v>14</v>
      </c>
      <c r="D42" s="42" t="str">
        <f t="shared" si="13"/>
        <v>Radboud University</v>
      </c>
      <c r="E42" s="42" t="str">
        <f t="shared" si="14"/>
        <v>Netherlands</v>
      </c>
      <c r="F42" s="28">
        <v>60</v>
      </c>
      <c r="G42" s="29">
        <f t="shared" si="15"/>
        <v>294</v>
      </c>
      <c r="H42" s="30">
        <f t="shared" si="16"/>
        <v>17640</v>
      </c>
      <c r="I42" s="28">
        <v>54</v>
      </c>
      <c r="J42" s="29">
        <f t="shared" si="17"/>
        <v>241</v>
      </c>
      <c r="K42" s="30">
        <f t="shared" si="18"/>
        <v>13014</v>
      </c>
      <c r="L42" s="28">
        <v>0</v>
      </c>
      <c r="M42" s="29">
        <f t="shared" si="19"/>
        <v>190</v>
      </c>
      <c r="N42" s="30">
        <f t="shared" si="20"/>
        <v>0</v>
      </c>
      <c r="O42" s="28">
        <v>0</v>
      </c>
      <c r="P42" s="29">
        <f t="shared" si="21"/>
        <v>157</v>
      </c>
      <c r="Q42" s="30">
        <f t="shared" si="22"/>
        <v>0</v>
      </c>
      <c r="R42" s="31">
        <f t="shared" si="23"/>
        <v>114</v>
      </c>
      <c r="S42" s="32">
        <f t="shared" si="24"/>
        <v>30654</v>
      </c>
      <c r="T42" s="33" t="str">
        <f t="shared" si="25"/>
        <v/>
      </c>
    </row>
    <row r="43" spans="2:20" s="34" customFormat="1" x14ac:dyDescent="0.3">
      <c r="B43" s="14" t="s">
        <v>318</v>
      </c>
      <c r="C43" s="19" t="s">
        <v>19</v>
      </c>
      <c r="D43" s="42" t="str">
        <f t="shared" si="13"/>
        <v>EdukaMont</v>
      </c>
      <c r="E43" s="42" t="str">
        <f t="shared" si="14"/>
        <v>Montenegro</v>
      </c>
      <c r="F43" s="28">
        <v>60</v>
      </c>
      <c r="G43" s="29">
        <f t="shared" si="15"/>
        <v>108</v>
      </c>
      <c r="H43" s="30">
        <f t="shared" si="16"/>
        <v>6480</v>
      </c>
      <c r="I43" s="28">
        <v>0</v>
      </c>
      <c r="J43" s="29">
        <f t="shared" si="17"/>
        <v>80</v>
      </c>
      <c r="K43" s="30">
        <f t="shared" si="18"/>
        <v>0</v>
      </c>
      <c r="L43" s="28">
        <v>0</v>
      </c>
      <c r="M43" s="29">
        <f t="shared" si="19"/>
        <v>57</v>
      </c>
      <c r="N43" s="30">
        <f t="shared" si="20"/>
        <v>0</v>
      </c>
      <c r="O43" s="28">
        <v>0</v>
      </c>
      <c r="P43" s="29">
        <f t="shared" si="21"/>
        <v>45</v>
      </c>
      <c r="Q43" s="30">
        <f t="shared" si="22"/>
        <v>0</v>
      </c>
      <c r="R43" s="31">
        <f t="shared" si="23"/>
        <v>60</v>
      </c>
      <c r="S43" s="32">
        <f t="shared" si="24"/>
        <v>6480</v>
      </c>
      <c r="T43" s="33" t="str">
        <f t="shared" si="25"/>
        <v/>
      </c>
    </row>
    <row r="44" spans="2:20" s="34" customFormat="1" x14ac:dyDescent="0.3">
      <c r="B44" s="14" t="s">
        <v>318</v>
      </c>
      <c r="C44" s="19" t="s">
        <v>15</v>
      </c>
      <c r="D44" s="42" t="str">
        <f t="shared" si="13"/>
        <v>Universidad de Salamanca</v>
      </c>
      <c r="E44" s="42" t="str">
        <f t="shared" si="14"/>
        <v>Spain</v>
      </c>
      <c r="F44" s="28">
        <v>60</v>
      </c>
      <c r="G44" s="29">
        <f t="shared" si="15"/>
        <v>164</v>
      </c>
      <c r="H44" s="30">
        <f t="shared" si="16"/>
        <v>9840</v>
      </c>
      <c r="I44" s="28">
        <v>0</v>
      </c>
      <c r="J44" s="29">
        <f t="shared" si="17"/>
        <v>137</v>
      </c>
      <c r="K44" s="30">
        <f t="shared" si="18"/>
        <v>0</v>
      </c>
      <c r="L44" s="28">
        <v>0</v>
      </c>
      <c r="M44" s="29">
        <f t="shared" si="19"/>
        <v>102</v>
      </c>
      <c r="N44" s="30">
        <f t="shared" si="20"/>
        <v>0</v>
      </c>
      <c r="O44" s="28">
        <v>0</v>
      </c>
      <c r="P44" s="29">
        <f t="shared" si="21"/>
        <v>78</v>
      </c>
      <c r="Q44" s="30">
        <f t="shared" si="22"/>
        <v>0</v>
      </c>
      <c r="R44" s="31">
        <f t="shared" si="23"/>
        <v>60</v>
      </c>
      <c r="S44" s="32">
        <f t="shared" si="24"/>
        <v>9840</v>
      </c>
      <c r="T44" s="33" t="str">
        <f t="shared" si="25"/>
        <v/>
      </c>
    </row>
    <row r="45" spans="2:20" s="34" customFormat="1" x14ac:dyDescent="0.3">
      <c r="B45" s="14" t="s">
        <v>318</v>
      </c>
      <c r="C45" s="19" t="s">
        <v>156</v>
      </c>
      <c r="D45" s="42" t="str">
        <f t="shared" si="13"/>
        <v>Enterprise Ireland</v>
      </c>
      <c r="E45" s="42" t="str">
        <f t="shared" si="14"/>
        <v>Ireland</v>
      </c>
      <c r="F45" s="28">
        <v>60</v>
      </c>
      <c r="G45" s="29">
        <f t="shared" si="15"/>
        <v>294</v>
      </c>
      <c r="H45" s="30">
        <f t="shared" si="16"/>
        <v>17640</v>
      </c>
      <c r="I45" s="28">
        <v>0</v>
      </c>
      <c r="J45" s="29">
        <f t="shared" si="17"/>
        <v>241</v>
      </c>
      <c r="K45" s="30">
        <f t="shared" si="18"/>
        <v>0</v>
      </c>
      <c r="L45" s="28">
        <v>0</v>
      </c>
      <c r="M45" s="29">
        <f t="shared" si="19"/>
        <v>190</v>
      </c>
      <c r="N45" s="30">
        <f t="shared" si="20"/>
        <v>0</v>
      </c>
      <c r="O45" s="28">
        <v>0</v>
      </c>
      <c r="P45" s="29">
        <f t="shared" si="21"/>
        <v>157</v>
      </c>
      <c r="Q45" s="30">
        <f t="shared" si="22"/>
        <v>0</v>
      </c>
      <c r="R45" s="31">
        <f t="shared" si="23"/>
        <v>60</v>
      </c>
      <c r="S45" s="32">
        <f t="shared" si="24"/>
        <v>17640</v>
      </c>
      <c r="T45" s="33" t="str">
        <f t="shared" si="25"/>
        <v/>
      </c>
    </row>
    <row r="46" spans="2:20" s="34" customFormat="1" x14ac:dyDescent="0.3">
      <c r="B46" s="14" t="s">
        <v>318</v>
      </c>
      <c r="C46" s="19" t="s">
        <v>16</v>
      </c>
      <c r="D46" s="42" t="str">
        <f t="shared" si="13"/>
        <v>University of Vienna</v>
      </c>
      <c r="E46" s="42" t="str">
        <f t="shared" si="14"/>
        <v>Austria</v>
      </c>
      <c r="F46" s="28">
        <v>60</v>
      </c>
      <c r="G46" s="29">
        <f t="shared" si="15"/>
        <v>294</v>
      </c>
      <c r="H46" s="30">
        <f t="shared" si="16"/>
        <v>17640</v>
      </c>
      <c r="I46" s="28">
        <v>0</v>
      </c>
      <c r="J46" s="29">
        <f t="shared" si="17"/>
        <v>241</v>
      </c>
      <c r="K46" s="30">
        <f t="shared" si="18"/>
        <v>0</v>
      </c>
      <c r="L46" s="28">
        <v>0</v>
      </c>
      <c r="M46" s="29">
        <f t="shared" si="19"/>
        <v>190</v>
      </c>
      <c r="N46" s="30">
        <f t="shared" si="20"/>
        <v>0</v>
      </c>
      <c r="O46" s="28">
        <v>0</v>
      </c>
      <c r="P46" s="29">
        <f t="shared" si="21"/>
        <v>157</v>
      </c>
      <c r="Q46" s="30">
        <f t="shared" si="22"/>
        <v>0</v>
      </c>
      <c r="R46" s="31">
        <f t="shared" si="23"/>
        <v>60</v>
      </c>
      <c r="S46" s="32">
        <f t="shared" si="24"/>
        <v>17640</v>
      </c>
      <c r="T46" s="33" t="str">
        <f t="shared" si="25"/>
        <v/>
      </c>
    </row>
    <row r="47" spans="2:20" s="34" customFormat="1" x14ac:dyDescent="0.3">
      <c r="B47" s="14" t="s">
        <v>318</v>
      </c>
      <c r="C47" s="19" t="s">
        <v>20</v>
      </c>
      <c r="D47" s="42" t="str">
        <f t="shared" si="13"/>
        <v>Uniwersytet Warszawski</v>
      </c>
      <c r="E47" s="42" t="str">
        <f t="shared" si="14"/>
        <v>Poland</v>
      </c>
      <c r="F47" s="28">
        <v>60</v>
      </c>
      <c r="G47" s="29">
        <f t="shared" si="15"/>
        <v>88</v>
      </c>
      <c r="H47" s="30">
        <f t="shared" si="16"/>
        <v>5280</v>
      </c>
      <c r="I47" s="28">
        <v>0</v>
      </c>
      <c r="J47" s="29">
        <f t="shared" si="17"/>
        <v>74</v>
      </c>
      <c r="K47" s="30">
        <f t="shared" si="18"/>
        <v>0</v>
      </c>
      <c r="L47" s="28">
        <v>0</v>
      </c>
      <c r="M47" s="29">
        <f t="shared" si="19"/>
        <v>55</v>
      </c>
      <c r="N47" s="30">
        <f t="shared" si="20"/>
        <v>0</v>
      </c>
      <c r="O47" s="28">
        <v>0</v>
      </c>
      <c r="P47" s="29">
        <f t="shared" si="21"/>
        <v>39</v>
      </c>
      <c r="Q47" s="30">
        <f t="shared" si="22"/>
        <v>0</v>
      </c>
      <c r="R47" s="31">
        <f t="shared" si="23"/>
        <v>60</v>
      </c>
      <c r="S47" s="32">
        <f t="shared" si="24"/>
        <v>5280</v>
      </c>
      <c r="T47" s="33" t="str">
        <f t="shared" si="25"/>
        <v/>
      </c>
    </row>
    <row r="48" spans="2:20" s="34" customFormat="1" x14ac:dyDescent="0.3">
      <c r="B48" s="14" t="s">
        <v>318</v>
      </c>
      <c r="C48" s="19" t="s">
        <v>17</v>
      </c>
      <c r="D48" s="42" t="str">
        <f t="shared" si="13"/>
        <v>Stockholm University</v>
      </c>
      <c r="E48" s="42" t="str">
        <f t="shared" si="14"/>
        <v>Sweden</v>
      </c>
      <c r="F48" s="28">
        <v>60</v>
      </c>
      <c r="G48" s="29">
        <f t="shared" si="15"/>
        <v>294</v>
      </c>
      <c r="H48" s="30">
        <f t="shared" si="16"/>
        <v>17640</v>
      </c>
      <c r="I48" s="28">
        <v>0</v>
      </c>
      <c r="J48" s="29">
        <f t="shared" si="17"/>
        <v>241</v>
      </c>
      <c r="K48" s="30">
        <f t="shared" si="18"/>
        <v>0</v>
      </c>
      <c r="L48" s="28">
        <v>0</v>
      </c>
      <c r="M48" s="29">
        <f t="shared" si="19"/>
        <v>190</v>
      </c>
      <c r="N48" s="30">
        <f t="shared" si="20"/>
        <v>0</v>
      </c>
      <c r="O48" s="28">
        <v>0</v>
      </c>
      <c r="P48" s="29">
        <f t="shared" si="21"/>
        <v>157</v>
      </c>
      <c r="Q48" s="30">
        <f t="shared" si="22"/>
        <v>0</v>
      </c>
      <c r="R48" s="31">
        <f t="shared" si="23"/>
        <v>60</v>
      </c>
      <c r="S48" s="32">
        <f t="shared" si="24"/>
        <v>17640</v>
      </c>
      <c r="T48" s="33" t="str">
        <f t="shared" si="25"/>
        <v/>
      </c>
    </row>
    <row r="49" spans="2:20" s="34" customFormat="1" x14ac:dyDescent="0.3">
      <c r="B49" s="14" t="s">
        <v>318</v>
      </c>
      <c r="C49" s="19" t="s">
        <v>21</v>
      </c>
      <c r="D49" s="42" t="str">
        <f t="shared" si="13"/>
        <v>InterSoft Education</v>
      </c>
      <c r="E49" s="42" t="str">
        <f t="shared" si="14"/>
        <v>Bosnia and Herzegovina</v>
      </c>
      <c r="F49" s="28">
        <v>60</v>
      </c>
      <c r="G49" s="29">
        <f t="shared" si="15"/>
        <v>108</v>
      </c>
      <c r="H49" s="30">
        <f t="shared" si="16"/>
        <v>6480</v>
      </c>
      <c r="I49" s="28">
        <v>0</v>
      </c>
      <c r="J49" s="29">
        <f t="shared" si="17"/>
        <v>80</v>
      </c>
      <c r="K49" s="30">
        <f t="shared" si="18"/>
        <v>0</v>
      </c>
      <c r="L49" s="28">
        <v>0</v>
      </c>
      <c r="M49" s="29">
        <f t="shared" si="19"/>
        <v>57</v>
      </c>
      <c r="N49" s="30">
        <f t="shared" si="20"/>
        <v>0</v>
      </c>
      <c r="O49" s="28">
        <v>0</v>
      </c>
      <c r="P49" s="29">
        <f t="shared" si="21"/>
        <v>45</v>
      </c>
      <c r="Q49" s="30">
        <f t="shared" si="22"/>
        <v>0</v>
      </c>
      <c r="R49" s="31">
        <f t="shared" si="23"/>
        <v>60</v>
      </c>
      <c r="S49" s="32">
        <f t="shared" si="24"/>
        <v>6480</v>
      </c>
      <c r="T49" s="33" t="str">
        <f t="shared" si="25"/>
        <v/>
      </c>
    </row>
    <row r="50" spans="2:20" s="34" customFormat="1" x14ac:dyDescent="0.3">
      <c r="B50" s="14" t="s">
        <v>319</v>
      </c>
      <c r="C50" s="19" t="s">
        <v>8</v>
      </c>
      <c r="D50" s="42" t="str">
        <f t="shared" si="13"/>
        <v>FifthElement</v>
      </c>
      <c r="E50" s="42" t="str">
        <f t="shared" si="14"/>
        <v>Serbia</v>
      </c>
      <c r="F50" s="28">
        <v>0</v>
      </c>
      <c r="G50" s="29">
        <f t="shared" si="15"/>
        <v>88</v>
      </c>
      <c r="H50" s="30">
        <f t="shared" si="16"/>
        <v>0</v>
      </c>
      <c r="I50" s="28">
        <v>0</v>
      </c>
      <c r="J50" s="29">
        <f t="shared" si="17"/>
        <v>74</v>
      </c>
      <c r="K50" s="30">
        <f t="shared" si="18"/>
        <v>0</v>
      </c>
      <c r="L50" s="28">
        <v>20</v>
      </c>
      <c r="M50" s="29">
        <f t="shared" si="19"/>
        <v>55</v>
      </c>
      <c r="N50" s="30">
        <f t="shared" si="20"/>
        <v>1100</v>
      </c>
      <c r="O50" s="28">
        <v>0</v>
      </c>
      <c r="P50" s="29">
        <f t="shared" si="21"/>
        <v>39</v>
      </c>
      <c r="Q50" s="30">
        <f t="shared" si="22"/>
        <v>0</v>
      </c>
      <c r="R50" s="31">
        <f t="shared" si="23"/>
        <v>20</v>
      </c>
      <c r="S50" s="32">
        <f t="shared" si="24"/>
        <v>1100</v>
      </c>
      <c r="T50" s="33" t="str">
        <f t="shared" si="25"/>
        <v/>
      </c>
    </row>
    <row r="51" spans="2:20" s="34" customFormat="1" x14ac:dyDescent="0.3">
      <c r="B51" s="14" t="s">
        <v>319</v>
      </c>
      <c r="C51" s="19" t="s">
        <v>11</v>
      </c>
      <c r="D51" s="42" t="str">
        <f t="shared" si="13"/>
        <v>Drustvo za akedmski razvoj (DAR)</v>
      </c>
      <c r="E51" s="42" t="str">
        <f t="shared" si="14"/>
        <v>Serbia</v>
      </c>
      <c r="F51" s="28">
        <v>0</v>
      </c>
      <c r="G51" s="29">
        <f t="shared" si="15"/>
        <v>88</v>
      </c>
      <c r="H51" s="30">
        <f t="shared" si="16"/>
        <v>0</v>
      </c>
      <c r="I51" s="28">
        <v>75</v>
      </c>
      <c r="J51" s="29">
        <f t="shared" si="17"/>
        <v>74</v>
      </c>
      <c r="K51" s="30">
        <f t="shared" si="18"/>
        <v>5550</v>
      </c>
      <c r="L51" s="28">
        <v>0</v>
      </c>
      <c r="M51" s="29">
        <f t="shared" si="19"/>
        <v>55</v>
      </c>
      <c r="N51" s="30">
        <f t="shared" si="20"/>
        <v>0</v>
      </c>
      <c r="O51" s="28">
        <v>0</v>
      </c>
      <c r="P51" s="29">
        <f t="shared" si="21"/>
        <v>39</v>
      </c>
      <c r="Q51" s="30">
        <f t="shared" si="22"/>
        <v>0</v>
      </c>
      <c r="R51" s="31">
        <f t="shared" si="23"/>
        <v>75</v>
      </c>
      <c r="S51" s="32">
        <f t="shared" si="24"/>
        <v>5550</v>
      </c>
      <c r="T51" s="33" t="str">
        <f t="shared" si="25"/>
        <v/>
      </c>
    </row>
    <row r="52" spans="2:20" s="34" customFormat="1" x14ac:dyDescent="0.3">
      <c r="B52" s="14" t="s">
        <v>174</v>
      </c>
      <c r="C52" s="19" t="s">
        <v>12</v>
      </c>
      <c r="D52" s="42" t="str">
        <f t="shared" si="13"/>
        <v>Ministarstvo prosvete, nauke I tehnoloskog razvoja</v>
      </c>
      <c r="E52" s="42" t="str">
        <f t="shared" si="14"/>
        <v>Serbia</v>
      </c>
      <c r="F52" s="28">
        <v>20</v>
      </c>
      <c r="G52" s="29">
        <f t="shared" si="15"/>
        <v>88</v>
      </c>
      <c r="H52" s="30">
        <f t="shared" si="16"/>
        <v>1760</v>
      </c>
      <c r="I52" s="28">
        <v>0</v>
      </c>
      <c r="J52" s="29">
        <f t="shared" si="17"/>
        <v>74</v>
      </c>
      <c r="K52" s="30">
        <f t="shared" si="18"/>
        <v>0</v>
      </c>
      <c r="L52" s="28">
        <v>0</v>
      </c>
      <c r="M52" s="29">
        <f t="shared" si="19"/>
        <v>55</v>
      </c>
      <c r="N52" s="30">
        <f t="shared" si="20"/>
        <v>0</v>
      </c>
      <c r="O52" s="28">
        <v>0</v>
      </c>
      <c r="P52" s="29">
        <f t="shared" si="21"/>
        <v>39</v>
      </c>
      <c r="Q52" s="30">
        <f t="shared" si="22"/>
        <v>0</v>
      </c>
      <c r="R52" s="31">
        <f t="shared" si="23"/>
        <v>20</v>
      </c>
      <c r="S52" s="32">
        <f t="shared" si="24"/>
        <v>1760</v>
      </c>
      <c r="T52" s="33" t="str">
        <f t="shared" si="25"/>
        <v/>
      </c>
    </row>
    <row r="53" spans="2:20" s="34" customFormat="1" x14ac:dyDescent="0.3">
      <c r="B53" s="14" t="s">
        <v>174</v>
      </c>
      <c r="C53" s="19" t="s">
        <v>13</v>
      </c>
      <c r="D53" s="42" t="str">
        <f t="shared" si="13"/>
        <v>University of Helsinki</v>
      </c>
      <c r="E53" s="42" t="str">
        <f t="shared" si="14"/>
        <v>Finland</v>
      </c>
      <c r="F53" s="28">
        <v>20</v>
      </c>
      <c r="G53" s="29">
        <f t="shared" si="15"/>
        <v>280</v>
      </c>
      <c r="H53" s="30">
        <f t="shared" si="16"/>
        <v>5600</v>
      </c>
      <c r="I53" s="28">
        <v>0</v>
      </c>
      <c r="J53" s="29">
        <f t="shared" si="17"/>
        <v>214</v>
      </c>
      <c r="K53" s="30">
        <f t="shared" si="18"/>
        <v>0</v>
      </c>
      <c r="L53" s="28">
        <v>0</v>
      </c>
      <c r="M53" s="29">
        <f t="shared" si="19"/>
        <v>162</v>
      </c>
      <c r="N53" s="30">
        <f t="shared" si="20"/>
        <v>0</v>
      </c>
      <c r="O53" s="28">
        <v>0</v>
      </c>
      <c r="P53" s="29">
        <f t="shared" si="21"/>
        <v>131</v>
      </c>
      <c r="Q53" s="30">
        <f t="shared" si="22"/>
        <v>0</v>
      </c>
      <c r="R53" s="31">
        <f t="shared" si="23"/>
        <v>20</v>
      </c>
      <c r="S53" s="32">
        <f t="shared" si="24"/>
        <v>5600</v>
      </c>
      <c r="T53" s="33" t="str">
        <f t="shared" si="25"/>
        <v/>
      </c>
    </row>
    <row r="54" spans="2:20" s="34" customFormat="1" x14ac:dyDescent="0.3">
      <c r="B54" s="14" t="s">
        <v>174</v>
      </c>
      <c r="C54" s="19" t="s">
        <v>18</v>
      </c>
      <c r="D54" s="42" t="str">
        <f t="shared" si="13"/>
        <v>IMEC</v>
      </c>
      <c r="E54" s="42" t="str">
        <f t="shared" si="14"/>
        <v>Belgium</v>
      </c>
      <c r="F54" s="28">
        <v>20</v>
      </c>
      <c r="G54" s="29">
        <f t="shared" si="15"/>
        <v>280</v>
      </c>
      <c r="H54" s="30">
        <f t="shared" si="16"/>
        <v>5600</v>
      </c>
      <c r="I54" s="28">
        <v>0</v>
      </c>
      <c r="J54" s="29">
        <f t="shared" si="17"/>
        <v>214</v>
      </c>
      <c r="K54" s="30">
        <f t="shared" si="18"/>
        <v>0</v>
      </c>
      <c r="L54" s="28">
        <v>0</v>
      </c>
      <c r="M54" s="29">
        <f t="shared" si="19"/>
        <v>162</v>
      </c>
      <c r="N54" s="30">
        <f t="shared" si="20"/>
        <v>0</v>
      </c>
      <c r="O54" s="28">
        <v>0</v>
      </c>
      <c r="P54" s="29">
        <f t="shared" si="21"/>
        <v>131</v>
      </c>
      <c r="Q54" s="30">
        <f t="shared" si="22"/>
        <v>0</v>
      </c>
      <c r="R54" s="31">
        <f t="shared" si="23"/>
        <v>20</v>
      </c>
      <c r="S54" s="32">
        <f t="shared" si="24"/>
        <v>5600</v>
      </c>
      <c r="T54" s="33" t="str">
        <f t="shared" si="25"/>
        <v/>
      </c>
    </row>
    <row r="55" spans="2:20" s="34" customFormat="1" x14ac:dyDescent="0.3">
      <c r="B55" s="14" t="s">
        <v>174</v>
      </c>
      <c r="C55" s="19" t="s">
        <v>14</v>
      </c>
      <c r="D55" s="42" t="str">
        <f t="shared" si="13"/>
        <v>Radboud University</v>
      </c>
      <c r="E55" s="42" t="str">
        <f t="shared" si="14"/>
        <v>Netherlands</v>
      </c>
      <c r="F55" s="28">
        <v>40</v>
      </c>
      <c r="G55" s="29">
        <f t="shared" si="15"/>
        <v>294</v>
      </c>
      <c r="H55" s="30">
        <f t="shared" si="16"/>
        <v>11760</v>
      </c>
      <c r="I55" s="28">
        <v>0</v>
      </c>
      <c r="J55" s="29">
        <f t="shared" si="17"/>
        <v>241</v>
      </c>
      <c r="K55" s="30">
        <f t="shared" si="18"/>
        <v>0</v>
      </c>
      <c r="L55" s="28">
        <v>0</v>
      </c>
      <c r="M55" s="29">
        <f t="shared" si="19"/>
        <v>190</v>
      </c>
      <c r="N55" s="30">
        <f t="shared" si="20"/>
        <v>0</v>
      </c>
      <c r="O55" s="28">
        <v>0</v>
      </c>
      <c r="P55" s="29">
        <f t="shared" si="21"/>
        <v>157</v>
      </c>
      <c r="Q55" s="30">
        <f t="shared" si="22"/>
        <v>0</v>
      </c>
      <c r="R55" s="31">
        <f t="shared" si="23"/>
        <v>40</v>
      </c>
      <c r="S55" s="32">
        <f t="shared" si="24"/>
        <v>11760</v>
      </c>
      <c r="T55" s="33" t="str">
        <f t="shared" si="25"/>
        <v/>
      </c>
    </row>
    <row r="56" spans="2:20" s="34" customFormat="1" x14ac:dyDescent="0.3">
      <c r="B56" s="14" t="s">
        <v>174</v>
      </c>
      <c r="C56" s="19" t="s">
        <v>19</v>
      </c>
      <c r="D56" s="42" t="str">
        <f t="shared" si="13"/>
        <v>EdukaMont</v>
      </c>
      <c r="E56" s="42" t="str">
        <f t="shared" si="14"/>
        <v>Montenegro</v>
      </c>
      <c r="F56" s="28">
        <v>20</v>
      </c>
      <c r="G56" s="29">
        <f t="shared" si="15"/>
        <v>108</v>
      </c>
      <c r="H56" s="30">
        <f t="shared" si="16"/>
        <v>2160</v>
      </c>
      <c r="I56" s="28">
        <v>0</v>
      </c>
      <c r="J56" s="29">
        <f t="shared" si="17"/>
        <v>80</v>
      </c>
      <c r="K56" s="30">
        <f t="shared" si="18"/>
        <v>0</v>
      </c>
      <c r="L56" s="28">
        <v>0</v>
      </c>
      <c r="M56" s="29">
        <f t="shared" si="19"/>
        <v>57</v>
      </c>
      <c r="N56" s="30">
        <f t="shared" si="20"/>
        <v>0</v>
      </c>
      <c r="O56" s="28">
        <v>0</v>
      </c>
      <c r="P56" s="29">
        <f t="shared" si="21"/>
        <v>45</v>
      </c>
      <c r="Q56" s="30">
        <f t="shared" si="22"/>
        <v>0</v>
      </c>
      <c r="R56" s="31">
        <f t="shared" si="23"/>
        <v>20</v>
      </c>
      <c r="S56" s="32">
        <f t="shared" si="24"/>
        <v>2160</v>
      </c>
      <c r="T56" s="33" t="str">
        <f t="shared" si="25"/>
        <v/>
      </c>
    </row>
    <row r="57" spans="2:20" s="34" customFormat="1" x14ac:dyDescent="0.3">
      <c r="B57" s="14" t="s">
        <v>174</v>
      </c>
      <c r="C57" s="19" t="s">
        <v>15</v>
      </c>
      <c r="D57" s="42" t="str">
        <f t="shared" si="13"/>
        <v>Universidad de Salamanca</v>
      </c>
      <c r="E57" s="42" t="str">
        <f t="shared" si="14"/>
        <v>Spain</v>
      </c>
      <c r="F57" s="28">
        <v>20</v>
      </c>
      <c r="G57" s="29">
        <f t="shared" si="15"/>
        <v>164</v>
      </c>
      <c r="H57" s="30">
        <f t="shared" si="16"/>
        <v>3280</v>
      </c>
      <c r="I57" s="28">
        <v>0</v>
      </c>
      <c r="J57" s="29">
        <f t="shared" si="17"/>
        <v>137</v>
      </c>
      <c r="K57" s="30">
        <f t="shared" si="18"/>
        <v>0</v>
      </c>
      <c r="L57" s="28">
        <v>0</v>
      </c>
      <c r="M57" s="29">
        <f t="shared" si="19"/>
        <v>102</v>
      </c>
      <c r="N57" s="30">
        <f t="shared" si="20"/>
        <v>0</v>
      </c>
      <c r="O57" s="28">
        <v>0</v>
      </c>
      <c r="P57" s="29">
        <f t="shared" si="21"/>
        <v>78</v>
      </c>
      <c r="Q57" s="30">
        <f t="shared" si="22"/>
        <v>0</v>
      </c>
      <c r="R57" s="31">
        <f t="shared" si="23"/>
        <v>20</v>
      </c>
      <c r="S57" s="32">
        <f t="shared" si="24"/>
        <v>3280</v>
      </c>
      <c r="T57" s="33" t="str">
        <f t="shared" si="25"/>
        <v/>
      </c>
    </row>
    <row r="58" spans="2:20" s="34" customFormat="1" x14ac:dyDescent="0.3">
      <c r="B58" s="14" t="s">
        <v>174</v>
      </c>
      <c r="C58" s="19" t="s">
        <v>156</v>
      </c>
      <c r="D58" s="42" t="str">
        <f t="shared" si="13"/>
        <v>Enterprise Ireland</v>
      </c>
      <c r="E58" s="42" t="str">
        <f t="shared" si="14"/>
        <v>Ireland</v>
      </c>
      <c r="F58" s="28">
        <v>20</v>
      </c>
      <c r="G58" s="29">
        <f t="shared" si="15"/>
        <v>294</v>
      </c>
      <c r="H58" s="30">
        <f t="shared" si="16"/>
        <v>5880</v>
      </c>
      <c r="I58" s="28">
        <v>0</v>
      </c>
      <c r="J58" s="29">
        <f t="shared" si="17"/>
        <v>241</v>
      </c>
      <c r="K58" s="30">
        <f t="shared" si="18"/>
        <v>0</v>
      </c>
      <c r="L58" s="28">
        <v>0</v>
      </c>
      <c r="M58" s="29">
        <f t="shared" si="19"/>
        <v>190</v>
      </c>
      <c r="N58" s="30">
        <f t="shared" si="20"/>
        <v>0</v>
      </c>
      <c r="O58" s="28">
        <v>0</v>
      </c>
      <c r="P58" s="29">
        <f t="shared" si="21"/>
        <v>157</v>
      </c>
      <c r="Q58" s="30">
        <f t="shared" si="22"/>
        <v>0</v>
      </c>
      <c r="R58" s="31">
        <f t="shared" si="23"/>
        <v>20</v>
      </c>
      <c r="S58" s="32">
        <f t="shared" si="24"/>
        <v>5880</v>
      </c>
      <c r="T58" s="33" t="str">
        <f t="shared" si="25"/>
        <v/>
      </c>
    </row>
    <row r="59" spans="2:20" s="34" customFormat="1" x14ac:dyDescent="0.3">
      <c r="B59" s="14" t="s">
        <v>174</v>
      </c>
      <c r="C59" s="19" t="s">
        <v>16</v>
      </c>
      <c r="D59" s="42" t="str">
        <f t="shared" si="13"/>
        <v>University of Vienna</v>
      </c>
      <c r="E59" s="42" t="str">
        <f t="shared" si="14"/>
        <v>Austria</v>
      </c>
      <c r="F59" s="28">
        <v>20</v>
      </c>
      <c r="G59" s="29">
        <f t="shared" si="15"/>
        <v>294</v>
      </c>
      <c r="H59" s="30">
        <f t="shared" si="16"/>
        <v>5880</v>
      </c>
      <c r="I59" s="28">
        <v>0</v>
      </c>
      <c r="J59" s="29">
        <f t="shared" si="17"/>
        <v>241</v>
      </c>
      <c r="K59" s="30">
        <f t="shared" si="18"/>
        <v>0</v>
      </c>
      <c r="L59" s="28">
        <v>0</v>
      </c>
      <c r="M59" s="29">
        <f t="shared" si="19"/>
        <v>190</v>
      </c>
      <c r="N59" s="30">
        <f t="shared" si="20"/>
        <v>0</v>
      </c>
      <c r="O59" s="28">
        <v>0</v>
      </c>
      <c r="P59" s="29">
        <f t="shared" si="21"/>
        <v>157</v>
      </c>
      <c r="Q59" s="30">
        <f t="shared" si="22"/>
        <v>0</v>
      </c>
      <c r="R59" s="31">
        <f t="shared" si="23"/>
        <v>20</v>
      </c>
      <c r="S59" s="32">
        <f t="shared" si="24"/>
        <v>5880</v>
      </c>
      <c r="T59" s="33" t="str">
        <f t="shared" si="25"/>
        <v/>
      </c>
    </row>
    <row r="60" spans="2:20" s="34" customFormat="1" x14ac:dyDescent="0.3">
      <c r="B60" s="14" t="s">
        <v>174</v>
      </c>
      <c r="C60" s="19" t="s">
        <v>20</v>
      </c>
      <c r="D60" s="42" t="str">
        <f t="shared" si="13"/>
        <v>Uniwersytet Warszawski</v>
      </c>
      <c r="E60" s="42" t="str">
        <f t="shared" si="14"/>
        <v>Poland</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x14ac:dyDescent="0.3">
      <c r="B61" s="14" t="s">
        <v>174</v>
      </c>
      <c r="C61" s="19" t="s">
        <v>17</v>
      </c>
      <c r="D61" s="42" t="str">
        <f t="shared" si="13"/>
        <v>Stockholm University</v>
      </c>
      <c r="E61" s="42" t="str">
        <f t="shared" si="14"/>
        <v>Sweden</v>
      </c>
      <c r="F61" s="28">
        <v>20</v>
      </c>
      <c r="G61" s="29">
        <f t="shared" si="15"/>
        <v>294</v>
      </c>
      <c r="H61" s="30">
        <f t="shared" si="16"/>
        <v>5880</v>
      </c>
      <c r="I61" s="28">
        <v>0</v>
      </c>
      <c r="J61" s="29">
        <f t="shared" si="17"/>
        <v>241</v>
      </c>
      <c r="K61" s="30">
        <f t="shared" si="18"/>
        <v>0</v>
      </c>
      <c r="L61" s="28">
        <v>0</v>
      </c>
      <c r="M61" s="29">
        <f t="shared" si="19"/>
        <v>190</v>
      </c>
      <c r="N61" s="30">
        <f t="shared" si="20"/>
        <v>0</v>
      </c>
      <c r="O61" s="28">
        <v>0</v>
      </c>
      <c r="P61" s="29">
        <f t="shared" si="21"/>
        <v>157</v>
      </c>
      <c r="Q61" s="30">
        <f t="shared" si="22"/>
        <v>0</v>
      </c>
      <c r="R61" s="31">
        <f t="shared" si="23"/>
        <v>20</v>
      </c>
      <c r="S61" s="32">
        <f t="shared" si="24"/>
        <v>5880</v>
      </c>
      <c r="T61" s="33" t="str">
        <f t="shared" si="25"/>
        <v/>
      </c>
    </row>
    <row r="62" spans="2:20" s="34" customFormat="1" x14ac:dyDescent="0.3">
      <c r="B62" s="14" t="s">
        <v>174</v>
      </c>
      <c r="C62" s="19" t="s">
        <v>21</v>
      </c>
      <c r="D62" s="42" t="str">
        <f t="shared" si="13"/>
        <v>InterSoft Education</v>
      </c>
      <c r="E62" s="42" t="str">
        <f t="shared" si="14"/>
        <v>Bosnia and Herzegovina</v>
      </c>
      <c r="F62" s="28">
        <v>20</v>
      </c>
      <c r="G62" s="29">
        <f t="shared" si="15"/>
        <v>108</v>
      </c>
      <c r="H62" s="30">
        <f t="shared" si="16"/>
        <v>2160</v>
      </c>
      <c r="I62" s="28">
        <v>0</v>
      </c>
      <c r="J62" s="29">
        <f t="shared" si="17"/>
        <v>80</v>
      </c>
      <c r="K62" s="30">
        <f t="shared" si="18"/>
        <v>0</v>
      </c>
      <c r="L62" s="28">
        <v>0</v>
      </c>
      <c r="M62" s="29">
        <f t="shared" si="19"/>
        <v>57</v>
      </c>
      <c r="N62" s="30">
        <f t="shared" si="20"/>
        <v>0</v>
      </c>
      <c r="O62" s="28">
        <v>0</v>
      </c>
      <c r="P62" s="29">
        <f t="shared" si="21"/>
        <v>45</v>
      </c>
      <c r="Q62" s="30">
        <f t="shared" si="22"/>
        <v>0</v>
      </c>
      <c r="R62" s="31">
        <f t="shared" si="23"/>
        <v>20</v>
      </c>
      <c r="S62" s="32">
        <f t="shared" si="24"/>
        <v>2160</v>
      </c>
      <c r="T62" s="33" t="str">
        <f t="shared" si="25"/>
        <v/>
      </c>
    </row>
  </sheetData>
  <sheetProtection algorithmName="SHA-512" hashValue="Q/7A8k3FRI4OLhtctPuWXAAr75iJs5xT+hzFrCEL1FEZW+2PNEpIqT03zZ3NPCbLKMnRQ9IlLgDVu6Fp4vkdiQ==" saltValue="YVu+fJmdW/KxAuCWv+lCmg=="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62">
    <cfRule type="containsText" dxfId="190" priority="1025" operator="containsText" text="Error">
      <formula>NOT(ISERROR(SEARCH("Error",T13)))</formula>
    </cfRule>
  </conditionalFormatting>
  <conditionalFormatting sqref="D13:E62">
    <cfRule type="containsBlanks" dxfId="189" priority="1021">
      <formula>LEN(TRIM(D13))=0</formula>
    </cfRule>
  </conditionalFormatting>
  <conditionalFormatting sqref="F14 I14 L14 O14">
    <cfRule type="expression" dxfId="188" priority="392">
      <formula>ISNUMBER(F14)=FALSE</formula>
    </cfRule>
  </conditionalFormatting>
  <conditionalFormatting sqref="F13 I13 L13 O13">
    <cfRule type="expression" dxfId="187" priority="391">
      <formula>ISNUMBER(F13)=FALSE</formula>
    </cfRule>
  </conditionalFormatting>
  <conditionalFormatting sqref="B13:C13">
    <cfRule type="containsBlanks" dxfId="186" priority="384">
      <formula>LEN(TRIM(B13))=0</formula>
    </cfRule>
  </conditionalFormatting>
  <conditionalFormatting sqref="B14:C14">
    <cfRule type="containsBlanks" dxfId="185" priority="383">
      <formula>LEN(TRIM(B14))=0</formula>
    </cfRule>
  </conditionalFormatting>
  <conditionalFormatting sqref="F15 I15 L15 O15">
    <cfRule type="expression" dxfId="184" priority="98">
      <formula>ISNUMBER(F15)=FALSE</formula>
    </cfRule>
  </conditionalFormatting>
  <conditionalFormatting sqref="B15:C15">
    <cfRule type="containsBlanks" dxfId="183" priority="97">
      <formula>LEN(TRIM(B15))=0</formula>
    </cfRule>
  </conditionalFormatting>
  <conditionalFormatting sqref="F16 I16 L16 O16">
    <cfRule type="expression" dxfId="182" priority="94">
      <formula>ISNUMBER(F16)=FALSE</formula>
    </cfRule>
  </conditionalFormatting>
  <conditionalFormatting sqref="B16:C16">
    <cfRule type="containsBlanks" dxfId="181" priority="93">
      <formula>LEN(TRIM(B16))=0</formula>
    </cfRule>
  </conditionalFormatting>
  <conditionalFormatting sqref="F17 I17 L17 O17">
    <cfRule type="expression" dxfId="180" priority="92">
      <formula>ISNUMBER(F17)=FALSE</formula>
    </cfRule>
  </conditionalFormatting>
  <conditionalFormatting sqref="B17:C17">
    <cfRule type="containsBlanks" dxfId="179" priority="91">
      <formula>LEN(TRIM(B17))=0</formula>
    </cfRule>
  </conditionalFormatting>
  <conditionalFormatting sqref="F18 I18 L18 O18">
    <cfRule type="expression" dxfId="178" priority="90">
      <formula>ISNUMBER(F18)=FALSE</formula>
    </cfRule>
  </conditionalFormatting>
  <conditionalFormatting sqref="B18:C18">
    <cfRule type="containsBlanks" dxfId="177" priority="89">
      <formula>LEN(TRIM(B18))=0</formula>
    </cfRule>
  </conditionalFormatting>
  <conditionalFormatting sqref="F19 I19 L19 O19">
    <cfRule type="expression" dxfId="176" priority="88">
      <formula>ISNUMBER(F19)=FALSE</formula>
    </cfRule>
  </conditionalFormatting>
  <conditionalFormatting sqref="B19:C19">
    <cfRule type="containsBlanks" dxfId="175" priority="87">
      <formula>LEN(TRIM(B19))=0</formula>
    </cfRule>
  </conditionalFormatting>
  <conditionalFormatting sqref="F20 I20 L20 O20">
    <cfRule type="expression" dxfId="174" priority="86">
      <formula>ISNUMBER(F20)=FALSE</formula>
    </cfRule>
  </conditionalFormatting>
  <conditionalFormatting sqref="B20:C20">
    <cfRule type="containsBlanks" dxfId="173" priority="85">
      <formula>LEN(TRIM(B20))=0</formula>
    </cfRule>
  </conditionalFormatting>
  <conditionalFormatting sqref="F21 I21 L21 O21">
    <cfRule type="expression" dxfId="172" priority="84">
      <formula>ISNUMBER(F21)=FALSE</formula>
    </cfRule>
  </conditionalFormatting>
  <conditionalFormatting sqref="B21:C21">
    <cfRule type="containsBlanks" dxfId="171" priority="83">
      <formula>LEN(TRIM(B21))=0</formula>
    </cfRule>
  </conditionalFormatting>
  <conditionalFormatting sqref="F22 I22 L22 O22">
    <cfRule type="expression" dxfId="170" priority="82">
      <formula>ISNUMBER(F22)=FALSE</formula>
    </cfRule>
  </conditionalFormatting>
  <conditionalFormatting sqref="B22:C22">
    <cfRule type="containsBlanks" dxfId="169" priority="81">
      <formula>LEN(TRIM(B22))=0</formula>
    </cfRule>
  </conditionalFormatting>
  <conditionalFormatting sqref="F24 I24 L24 O24">
    <cfRule type="expression" dxfId="168" priority="80">
      <formula>ISNUMBER(F24)=FALSE</formula>
    </cfRule>
  </conditionalFormatting>
  <conditionalFormatting sqref="B24:C24">
    <cfRule type="containsBlanks" dxfId="167" priority="79">
      <formula>LEN(TRIM(B24))=0</formula>
    </cfRule>
  </conditionalFormatting>
  <conditionalFormatting sqref="F25 I25 L25 O25">
    <cfRule type="expression" dxfId="166" priority="78">
      <formula>ISNUMBER(F25)=FALSE</formula>
    </cfRule>
  </conditionalFormatting>
  <conditionalFormatting sqref="B25:C25">
    <cfRule type="containsBlanks" dxfId="165" priority="77">
      <formula>LEN(TRIM(B25))=0</formula>
    </cfRule>
  </conditionalFormatting>
  <conditionalFormatting sqref="F26 I26 L26 O26">
    <cfRule type="expression" dxfId="164" priority="76">
      <formula>ISNUMBER(F26)=FALSE</formula>
    </cfRule>
  </conditionalFormatting>
  <conditionalFormatting sqref="B26:C26">
    <cfRule type="containsBlanks" dxfId="163" priority="75">
      <formula>LEN(TRIM(B26))=0</formula>
    </cfRule>
  </conditionalFormatting>
  <conditionalFormatting sqref="F27 I27 L27 O27">
    <cfRule type="expression" dxfId="162" priority="74">
      <formula>ISNUMBER(F27)=FALSE</formula>
    </cfRule>
  </conditionalFormatting>
  <conditionalFormatting sqref="B27:C27">
    <cfRule type="containsBlanks" dxfId="161" priority="73">
      <formula>LEN(TRIM(B27))=0</formula>
    </cfRule>
  </conditionalFormatting>
  <conditionalFormatting sqref="F28 I28 L28 O28">
    <cfRule type="expression" dxfId="160" priority="72">
      <formula>ISNUMBER(F28)=FALSE</formula>
    </cfRule>
  </conditionalFormatting>
  <conditionalFormatting sqref="B28:C28">
    <cfRule type="containsBlanks" dxfId="159" priority="71">
      <formula>LEN(TRIM(B28))=0</formula>
    </cfRule>
  </conditionalFormatting>
  <conditionalFormatting sqref="F29 I29 L29 O29">
    <cfRule type="expression" dxfId="158" priority="70">
      <formula>ISNUMBER(F29)=FALSE</formula>
    </cfRule>
  </conditionalFormatting>
  <conditionalFormatting sqref="B29:C29">
    <cfRule type="containsBlanks" dxfId="157" priority="69">
      <formula>LEN(TRIM(B29))=0</formula>
    </cfRule>
  </conditionalFormatting>
  <conditionalFormatting sqref="F30 I30 L30 O30">
    <cfRule type="expression" dxfId="156" priority="68">
      <formula>ISNUMBER(F30)=FALSE</formula>
    </cfRule>
  </conditionalFormatting>
  <conditionalFormatting sqref="B30:C30">
    <cfRule type="containsBlanks" dxfId="155" priority="67">
      <formula>LEN(TRIM(B30))=0</formula>
    </cfRule>
  </conditionalFormatting>
  <conditionalFormatting sqref="F31 I31 L31 O31">
    <cfRule type="expression" dxfId="154" priority="66">
      <formula>ISNUMBER(F31)=FALSE</formula>
    </cfRule>
  </conditionalFormatting>
  <conditionalFormatting sqref="B31:C31">
    <cfRule type="containsBlanks" dxfId="153" priority="65">
      <formula>LEN(TRIM(B31))=0</formula>
    </cfRule>
  </conditionalFormatting>
  <conditionalFormatting sqref="F32 I32 L32 O32">
    <cfRule type="expression" dxfId="152" priority="64">
      <formula>ISNUMBER(F32)=FALSE</formula>
    </cfRule>
  </conditionalFormatting>
  <conditionalFormatting sqref="B32:C32">
    <cfRule type="containsBlanks" dxfId="151" priority="63">
      <formula>LEN(TRIM(B32))=0</formula>
    </cfRule>
  </conditionalFormatting>
  <conditionalFormatting sqref="F33 I33 L33 O33">
    <cfRule type="expression" dxfId="150" priority="62">
      <formula>ISNUMBER(F33)=FALSE</formula>
    </cfRule>
  </conditionalFormatting>
  <conditionalFormatting sqref="B33:C33">
    <cfRule type="containsBlanks" dxfId="149" priority="61">
      <formula>LEN(TRIM(B33))=0</formula>
    </cfRule>
  </conditionalFormatting>
  <conditionalFormatting sqref="F34 I34 L34 O34">
    <cfRule type="expression" dxfId="148" priority="60">
      <formula>ISNUMBER(F34)=FALSE</formula>
    </cfRule>
  </conditionalFormatting>
  <conditionalFormatting sqref="B34:C34">
    <cfRule type="containsBlanks" dxfId="147" priority="59">
      <formula>LEN(TRIM(B34))=0</formula>
    </cfRule>
  </conditionalFormatting>
  <conditionalFormatting sqref="F35 I35 L35 O35">
    <cfRule type="expression" dxfId="146" priority="58">
      <formula>ISNUMBER(F35)=FALSE</formula>
    </cfRule>
  </conditionalFormatting>
  <conditionalFormatting sqref="B35:C35">
    <cfRule type="containsBlanks" dxfId="145" priority="57">
      <formula>LEN(TRIM(B35))=0</formula>
    </cfRule>
  </conditionalFormatting>
  <conditionalFormatting sqref="F36 I36 L36 O36">
    <cfRule type="expression" dxfId="144" priority="56">
      <formula>ISNUMBER(F36)=FALSE</formula>
    </cfRule>
  </conditionalFormatting>
  <conditionalFormatting sqref="B36:C36">
    <cfRule type="containsBlanks" dxfId="143" priority="55">
      <formula>LEN(TRIM(B36))=0</formula>
    </cfRule>
  </conditionalFormatting>
  <conditionalFormatting sqref="F37 I37 L37 O37">
    <cfRule type="expression" dxfId="142" priority="54">
      <formula>ISNUMBER(F37)=FALSE</formula>
    </cfRule>
  </conditionalFormatting>
  <conditionalFormatting sqref="B37:C37">
    <cfRule type="containsBlanks" dxfId="141" priority="53">
      <formula>LEN(TRIM(B37))=0</formula>
    </cfRule>
  </conditionalFormatting>
  <conditionalFormatting sqref="F38 I38 L38 O38">
    <cfRule type="expression" dxfId="140" priority="52">
      <formula>ISNUMBER(F38)=FALSE</formula>
    </cfRule>
  </conditionalFormatting>
  <conditionalFormatting sqref="B38:C38">
    <cfRule type="containsBlanks" dxfId="139" priority="51">
      <formula>LEN(TRIM(B38))=0</formula>
    </cfRule>
  </conditionalFormatting>
  <conditionalFormatting sqref="F39 I39 L39 O39">
    <cfRule type="expression" dxfId="138" priority="50">
      <formula>ISNUMBER(F39)=FALSE</formula>
    </cfRule>
  </conditionalFormatting>
  <conditionalFormatting sqref="B39:C39">
    <cfRule type="containsBlanks" dxfId="137" priority="49">
      <formula>LEN(TRIM(B39))=0</formula>
    </cfRule>
  </conditionalFormatting>
  <conditionalFormatting sqref="F40 I40 L40 O40">
    <cfRule type="expression" dxfId="136" priority="48">
      <formula>ISNUMBER(F40)=FALSE</formula>
    </cfRule>
  </conditionalFormatting>
  <conditionalFormatting sqref="B40:C40">
    <cfRule type="containsBlanks" dxfId="135" priority="47">
      <formula>LEN(TRIM(B40))=0</formula>
    </cfRule>
  </conditionalFormatting>
  <conditionalFormatting sqref="F41 I41 L41 O41">
    <cfRule type="expression" dxfId="134" priority="46">
      <formula>ISNUMBER(F41)=FALSE</formula>
    </cfRule>
  </conditionalFormatting>
  <conditionalFormatting sqref="B41:C41">
    <cfRule type="containsBlanks" dxfId="133" priority="45">
      <formula>LEN(TRIM(B41))=0</formula>
    </cfRule>
  </conditionalFormatting>
  <conditionalFormatting sqref="F42 I42 L42 O42">
    <cfRule type="expression" dxfId="132" priority="44">
      <formula>ISNUMBER(F42)=FALSE</formula>
    </cfRule>
  </conditionalFormatting>
  <conditionalFormatting sqref="B42:C42">
    <cfRule type="containsBlanks" dxfId="131" priority="43">
      <formula>LEN(TRIM(B42))=0</formula>
    </cfRule>
  </conditionalFormatting>
  <conditionalFormatting sqref="F43 I43 L43 O43">
    <cfRule type="expression" dxfId="130" priority="42">
      <formula>ISNUMBER(F43)=FALSE</formula>
    </cfRule>
  </conditionalFormatting>
  <conditionalFormatting sqref="B43:C43">
    <cfRule type="containsBlanks" dxfId="129" priority="41">
      <formula>LEN(TRIM(B43))=0</formula>
    </cfRule>
  </conditionalFormatting>
  <conditionalFormatting sqref="F44 I44 L44 O44">
    <cfRule type="expression" dxfId="128" priority="40">
      <formula>ISNUMBER(F44)=FALSE</formula>
    </cfRule>
  </conditionalFormatting>
  <conditionalFormatting sqref="B44:C44">
    <cfRule type="containsBlanks" dxfId="127" priority="39">
      <formula>LEN(TRIM(B44))=0</formula>
    </cfRule>
  </conditionalFormatting>
  <conditionalFormatting sqref="F45 I45 L45 O45">
    <cfRule type="expression" dxfId="126" priority="38">
      <formula>ISNUMBER(F45)=FALSE</formula>
    </cfRule>
  </conditionalFormatting>
  <conditionalFormatting sqref="B45:C45">
    <cfRule type="containsBlanks" dxfId="125" priority="37">
      <formula>LEN(TRIM(B45))=0</formula>
    </cfRule>
  </conditionalFormatting>
  <conditionalFormatting sqref="F46 I46 L46 O46">
    <cfRule type="expression" dxfId="124" priority="36">
      <formula>ISNUMBER(F46)=FALSE</formula>
    </cfRule>
  </conditionalFormatting>
  <conditionalFormatting sqref="B46:C46">
    <cfRule type="containsBlanks" dxfId="123" priority="35">
      <formula>LEN(TRIM(B46))=0</formula>
    </cfRule>
  </conditionalFormatting>
  <conditionalFormatting sqref="F47 I47 L47 O47">
    <cfRule type="expression" dxfId="122" priority="34">
      <formula>ISNUMBER(F47)=FALSE</formula>
    </cfRule>
  </conditionalFormatting>
  <conditionalFormatting sqref="B47:C47">
    <cfRule type="containsBlanks" dxfId="121" priority="33">
      <formula>LEN(TRIM(B47))=0</formula>
    </cfRule>
  </conditionalFormatting>
  <conditionalFormatting sqref="F48 I48 L48 O48">
    <cfRule type="expression" dxfId="120" priority="32">
      <formula>ISNUMBER(F48)=FALSE</formula>
    </cfRule>
  </conditionalFormatting>
  <conditionalFormatting sqref="B48:C48">
    <cfRule type="containsBlanks" dxfId="119" priority="31">
      <formula>LEN(TRIM(B48))=0</formula>
    </cfRule>
  </conditionalFormatting>
  <conditionalFormatting sqref="F49 I49 L49 O49">
    <cfRule type="expression" dxfId="118" priority="30">
      <formula>ISNUMBER(F49)=FALSE</formula>
    </cfRule>
  </conditionalFormatting>
  <conditionalFormatting sqref="B49:C49">
    <cfRule type="containsBlanks" dxfId="117" priority="29">
      <formula>LEN(TRIM(B49))=0</formula>
    </cfRule>
  </conditionalFormatting>
  <conditionalFormatting sqref="F50 I50 L50 O50">
    <cfRule type="expression" dxfId="116" priority="28">
      <formula>ISNUMBER(F50)=FALSE</formula>
    </cfRule>
  </conditionalFormatting>
  <conditionalFormatting sqref="B50:C50">
    <cfRule type="containsBlanks" dxfId="115" priority="27">
      <formula>LEN(TRIM(B50))=0</formula>
    </cfRule>
  </conditionalFormatting>
  <conditionalFormatting sqref="F51 I51 L51 O51">
    <cfRule type="expression" dxfId="114" priority="26">
      <formula>ISNUMBER(F51)=FALSE</formula>
    </cfRule>
  </conditionalFormatting>
  <conditionalFormatting sqref="B51:C51">
    <cfRule type="containsBlanks" dxfId="113" priority="25">
      <formula>LEN(TRIM(B51))=0</formula>
    </cfRule>
  </conditionalFormatting>
  <conditionalFormatting sqref="F52 I52 L52 O52">
    <cfRule type="expression" dxfId="112" priority="24">
      <formula>ISNUMBER(F52)=FALSE</formula>
    </cfRule>
  </conditionalFormatting>
  <conditionalFormatting sqref="B52:C52">
    <cfRule type="containsBlanks" dxfId="111" priority="23">
      <formula>LEN(TRIM(B52))=0</formula>
    </cfRule>
  </conditionalFormatting>
  <conditionalFormatting sqref="F53 I53 L53 O53">
    <cfRule type="expression" dxfId="110" priority="22">
      <formula>ISNUMBER(F53)=FALSE</formula>
    </cfRule>
  </conditionalFormatting>
  <conditionalFormatting sqref="B53:C53">
    <cfRule type="containsBlanks" dxfId="109" priority="21">
      <formula>LEN(TRIM(B53))=0</formula>
    </cfRule>
  </conditionalFormatting>
  <conditionalFormatting sqref="F54 I54 L54 O54">
    <cfRule type="expression" dxfId="108" priority="20">
      <formula>ISNUMBER(F54)=FALSE</formula>
    </cfRule>
  </conditionalFormatting>
  <conditionalFormatting sqref="B54:C54">
    <cfRule type="containsBlanks" dxfId="107" priority="19">
      <formula>LEN(TRIM(B54))=0</formula>
    </cfRule>
  </conditionalFormatting>
  <conditionalFormatting sqref="F55 I55 L55 O55">
    <cfRule type="expression" dxfId="106" priority="18">
      <formula>ISNUMBER(F55)=FALSE</formula>
    </cfRule>
  </conditionalFormatting>
  <conditionalFormatting sqref="B55:C55">
    <cfRule type="containsBlanks" dxfId="105" priority="17">
      <formula>LEN(TRIM(B55))=0</formula>
    </cfRule>
  </conditionalFormatting>
  <conditionalFormatting sqref="F56 I56 L56 O56">
    <cfRule type="expression" dxfId="104" priority="16">
      <formula>ISNUMBER(F56)=FALSE</formula>
    </cfRule>
  </conditionalFormatting>
  <conditionalFormatting sqref="B56:C56">
    <cfRule type="containsBlanks" dxfId="103" priority="15">
      <formula>LEN(TRIM(B56))=0</formula>
    </cfRule>
  </conditionalFormatting>
  <conditionalFormatting sqref="F57 I57 L57 O57">
    <cfRule type="expression" dxfId="102" priority="14">
      <formula>ISNUMBER(F57)=FALSE</formula>
    </cfRule>
  </conditionalFormatting>
  <conditionalFormatting sqref="B57:C57">
    <cfRule type="containsBlanks" dxfId="101" priority="13">
      <formula>LEN(TRIM(B57))=0</formula>
    </cfRule>
  </conditionalFormatting>
  <conditionalFormatting sqref="F58 I58 L58 O58">
    <cfRule type="expression" dxfId="100" priority="12">
      <formula>ISNUMBER(F58)=FALSE</formula>
    </cfRule>
  </conditionalFormatting>
  <conditionalFormatting sqref="B58:C58">
    <cfRule type="containsBlanks" dxfId="99" priority="11">
      <formula>LEN(TRIM(B58))=0</formula>
    </cfRule>
  </conditionalFormatting>
  <conditionalFormatting sqref="F59 I59 L59 O59">
    <cfRule type="expression" dxfId="98" priority="10">
      <formula>ISNUMBER(F59)=FALSE</formula>
    </cfRule>
  </conditionalFormatting>
  <conditionalFormatting sqref="B59:C59">
    <cfRule type="containsBlanks" dxfId="97" priority="9">
      <formula>LEN(TRIM(B59))=0</formula>
    </cfRule>
  </conditionalFormatting>
  <conditionalFormatting sqref="F60 I60 L60 O60">
    <cfRule type="expression" dxfId="96" priority="8">
      <formula>ISNUMBER(F60)=FALSE</formula>
    </cfRule>
  </conditionalFormatting>
  <conditionalFormatting sqref="B60:C60">
    <cfRule type="containsBlanks" dxfId="95" priority="7">
      <formula>LEN(TRIM(B60))=0</formula>
    </cfRule>
  </conditionalFormatting>
  <conditionalFormatting sqref="F61 I61 L61 O61">
    <cfRule type="expression" dxfId="94" priority="6">
      <formula>ISNUMBER(F61)=FALSE</formula>
    </cfRule>
  </conditionalFormatting>
  <conditionalFormatting sqref="B61:C61">
    <cfRule type="containsBlanks" dxfId="93" priority="5">
      <formula>LEN(TRIM(B61))=0</formula>
    </cfRule>
  </conditionalFormatting>
  <conditionalFormatting sqref="F62 I62 L62 O62">
    <cfRule type="expression" dxfId="92" priority="4">
      <formula>ISNUMBER(F62)=FALSE</formula>
    </cfRule>
  </conditionalFormatting>
  <conditionalFormatting sqref="B62:C62">
    <cfRule type="containsBlanks" dxfId="91" priority="3">
      <formula>LEN(TRIM(B62))=0</formula>
    </cfRule>
  </conditionalFormatting>
  <conditionalFormatting sqref="F23 I23 L23 O23">
    <cfRule type="expression" dxfId="90" priority="2">
      <formula>ISNUMBER(F23)=FALSE</formula>
    </cfRule>
  </conditionalFormatting>
  <conditionalFormatting sqref="B23:C23">
    <cfRule type="containsBlanks" dxfId="89" priority="1">
      <formula>LEN(TRIM(B23))=0</formula>
    </cfRule>
  </conditionalFormatting>
  <dataValidations xWindow="382" yWindow="402" count="4">
    <dataValidation allowBlank="1" showInputMessage="1" errorTitle="Warning: Max Ceilings exceeded" error="Please be aware that this exceed the &quot;Ceilings&quot; for the maximum amounts for staff cost by country" sqref="P13:P62 J13:J62 M13:M62 G13:G62" xr:uid="{00000000-0002-0000-0200-000000000000}"/>
    <dataValidation type="custom" allowBlank="1" showInputMessage="1" showErrorMessage="1" error="Format error (1 decimal only)" prompt="Please encode number of days - 1 decimal only" sqref="O13:O62 I13:I62 F13:F62 L13:L62" xr:uid="{00000000-0002-0000-0200-000001000000}">
      <formula1>F13=INT(F13*10)/10</formula1>
    </dataValidation>
    <dataValidation type="list" allowBlank="1" showInputMessage="1" showErrorMessage="1" error="Click arrow to select Work Package" prompt="Click arrow to select Work Package" sqref="B13:B62" xr:uid="{00000000-0002-0000-0200-000002000000}">
      <formula1>WorkPackage</formula1>
    </dataValidation>
    <dataValidation type="list" allowBlank="1" showInputMessage="1" showErrorMessage="1" error="Click arrow to select Partner N°" prompt="Click arrow to select Partner N°" sqref="C13:C62"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19"/>
  <sheetViews>
    <sheetView showGridLines="0" topLeftCell="F1"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49" t="s">
        <v>183</v>
      </c>
      <c r="C2" s="149"/>
      <c r="D2" s="149"/>
      <c r="E2" s="149"/>
      <c r="F2" s="149"/>
      <c r="G2" s="149"/>
      <c r="H2" s="149"/>
      <c r="I2" s="149"/>
      <c r="J2" s="149"/>
      <c r="K2" s="149"/>
      <c r="L2" s="149"/>
      <c r="M2" s="149"/>
      <c r="N2" s="149"/>
      <c r="O2" s="149"/>
      <c r="P2" s="149"/>
      <c r="Q2" s="149"/>
      <c r="R2" s="149"/>
    </row>
    <row r="3" spans="2:18" s="20" customFormat="1" ht="8.1" customHeight="1" x14ac:dyDescent="0.35">
      <c r="B3" s="128"/>
      <c r="C3" s="129"/>
      <c r="D3" s="129"/>
      <c r="E3" s="129"/>
      <c r="F3" s="129"/>
      <c r="G3" s="129"/>
      <c r="H3" s="129"/>
      <c r="I3" s="129"/>
      <c r="J3" s="129"/>
      <c r="K3" s="129"/>
      <c r="L3" s="129"/>
      <c r="M3" s="129"/>
      <c r="N3" s="129"/>
      <c r="O3" s="129"/>
      <c r="P3" s="129"/>
      <c r="Q3" s="129"/>
      <c r="R3" s="130"/>
    </row>
    <row r="4" spans="2:18" s="20" customFormat="1" ht="20.100000000000001" customHeight="1" x14ac:dyDescent="0.35">
      <c r="B4" s="144" t="s">
        <v>302</v>
      </c>
      <c r="C4" s="145"/>
      <c r="D4" s="51">
        <f>SUMIF(G:G,"Student",O:O)</f>
        <v>0</v>
      </c>
      <c r="E4" s="169">
        <f>D4+D5</f>
        <v>660</v>
      </c>
      <c r="F4" s="154">
        <f>SUMIFS(H:H,G:G,"Student",R:R,"&lt;&gt;Error")</f>
        <v>4</v>
      </c>
      <c r="G4" s="49"/>
      <c r="L4" s="146" t="s">
        <v>345</v>
      </c>
      <c r="M4" s="147"/>
      <c r="N4" s="148"/>
      <c r="O4" s="90"/>
      <c r="P4" s="90"/>
      <c r="Q4" s="90"/>
      <c r="R4" s="77"/>
    </row>
    <row r="5" spans="2:18" s="20" customFormat="1" ht="20.100000000000001" customHeight="1" x14ac:dyDescent="0.35">
      <c r="B5" s="142" t="s">
        <v>303</v>
      </c>
      <c r="C5" s="143"/>
      <c r="D5" s="52">
        <f>SUMIF(G:G,"Student",P:P)</f>
        <v>660</v>
      </c>
      <c r="E5" s="170"/>
      <c r="F5" s="155"/>
      <c r="G5" s="49"/>
      <c r="H5" s="50"/>
      <c r="I5" s="50"/>
      <c r="J5" s="50"/>
      <c r="L5" s="156" t="s">
        <v>354</v>
      </c>
      <c r="M5" s="157"/>
      <c r="N5" s="158"/>
      <c r="O5" s="50"/>
      <c r="P5" s="50"/>
      <c r="Q5" s="50"/>
      <c r="R5" s="77"/>
    </row>
    <row r="6" spans="2:18" s="20" customFormat="1" ht="20.100000000000001" customHeight="1" x14ac:dyDescent="0.35">
      <c r="B6" s="144" t="s">
        <v>304</v>
      </c>
      <c r="C6" s="145"/>
      <c r="D6" s="51">
        <f>SUMIF(G:G,"Staff",O:O)</f>
        <v>0</v>
      </c>
      <c r="E6" s="167">
        <f>D6+D7</f>
        <v>0</v>
      </c>
      <c r="F6" s="152">
        <f>SUMIFS(H:H,G:G,"Staff",R:R,"&lt;&gt;Error")</f>
        <v>0</v>
      </c>
      <c r="G6" s="49"/>
      <c r="L6" s="159"/>
      <c r="M6" s="160"/>
      <c r="N6" s="161"/>
      <c r="R6" s="77"/>
    </row>
    <row r="7" spans="2:18" s="20" customFormat="1" ht="20.100000000000001" customHeight="1" x14ac:dyDescent="0.35">
      <c r="B7" s="142" t="s">
        <v>305</v>
      </c>
      <c r="C7" s="143"/>
      <c r="D7" s="52">
        <f>SUMIF(G:G,"Staff",P:P)</f>
        <v>0</v>
      </c>
      <c r="E7" s="168"/>
      <c r="F7" s="153"/>
      <c r="G7" s="49"/>
      <c r="L7" s="159"/>
      <c r="M7" s="160"/>
      <c r="N7" s="161"/>
      <c r="R7" s="77"/>
    </row>
    <row r="8" spans="2:18" s="20" customFormat="1" ht="20.100000000000001" customHeight="1" x14ac:dyDescent="0.35">
      <c r="B8" s="144" t="s">
        <v>306</v>
      </c>
      <c r="C8" s="145"/>
      <c r="D8" s="51">
        <f>SUM(O:O)</f>
        <v>0</v>
      </c>
      <c r="E8" s="165">
        <f>D8+D9</f>
        <v>660</v>
      </c>
      <c r="F8" s="150">
        <f>F4+F6</f>
        <v>4</v>
      </c>
      <c r="G8" s="49"/>
      <c r="L8" s="159"/>
      <c r="M8" s="160"/>
      <c r="N8" s="161"/>
      <c r="R8" s="77"/>
    </row>
    <row r="9" spans="2:18" s="20" customFormat="1" ht="20.100000000000001" customHeight="1" x14ac:dyDescent="0.35">
      <c r="B9" s="142" t="s">
        <v>307</v>
      </c>
      <c r="C9" s="143"/>
      <c r="D9" s="52">
        <f>SUM(P:P)</f>
        <v>660</v>
      </c>
      <c r="E9" s="166"/>
      <c r="F9" s="151"/>
      <c r="G9" s="49"/>
      <c r="L9" s="159"/>
      <c r="M9" s="160"/>
      <c r="N9" s="161"/>
      <c r="R9" s="77"/>
    </row>
    <row r="10" spans="2:18" s="20" customFormat="1" x14ac:dyDescent="0.35">
      <c r="B10" s="142" t="s">
        <v>344</v>
      </c>
      <c r="C10" s="143"/>
      <c r="D10" s="52">
        <f>SUM(N:N)</f>
        <v>2400</v>
      </c>
      <c r="L10" s="159"/>
      <c r="M10" s="160"/>
      <c r="N10" s="161"/>
      <c r="R10" s="94"/>
    </row>
    <row r="11" spans="2:18" s="45" customFormat="1" ht="62.25" customHeight="1" x14ac:dyDescent="0.35">
      <c r="B11" s="86"/>
      <c r="L11" s="162"/>
      <c r="M11" s="163"/>
      <c r="N11" s="164"/>
      <c r="R11" s="87"/>
    </row>
    <row r="12" spans="2:18" ht="75" customHeight="1" x14ac:dyDescent="0.3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IF(AND(M13&gt;0,L13&lt;&gt;""),IF(M13&gt;(ROUND( (ROUND(ROUND(H13,0)*(VLOOKUP(J13,TravelCosts,2,FALSE)),2))/0.65,2)),ROUND(M13*0.8,2),"covered by unit cost"),0)</f>
        <v>0</v>
      </c>
      <c r="O13" s="37">
        <f>IF(OR(AND(L13&lt;&gt;"",M13&gt;0,ISNUMBER(N13)),R13="Error"),0,ROUND(ROUND(H13,0)*(VLOOKUP(J13,TravelCosts,2,FALSE)),2))</f>
        <v>0</v>
      </c>
      <c r="P13" s="37">
        <f>IF(R13="Error",0,IF(AND(G13="Staff",K13&gt;0,K13&lt;15),(120*K13)*H13,IF(AND(G13="Staff",K13&gt;14,K13&lt;61),(1680+((K13-14)*70))*H13,IF(AND(G13="Staff",K13&gt;60,K13&lt;91),(4900+((K13-60)*50))*H13,IF(AND(G13="Student",K13&gt;0,K13&lt;15),(55*K13)*H13,IF(AND(G13="Student",K13&gt;14,K13&lt;91),(770+((K13-14)*40))*H13,0))))))</f>
        <v>0</v>
      </c>
      <c r="Q13" s="38">
        <f>IFERROR(N13+O13+P13,O13+P13)</f>
        <v>0</v>
      </c>
      <c r="R13" s="91"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172</v>
      </c>
      <c r="C14" s="19" t="s">
        <v>10</v>
      </c>
      <c r="D14" s="42" t="str">
        <f t="shared" si="0"/>
        <v>Privredna komora Srbije</v>
      </c>
      <c r="E14" s="42" t="str">
        <f t="shared" si="1"/>
        <v>Serbia</v>
      </c>
      <c r="F14" s="18" t="s">
        <v>392</v>
      </c>
      <c r="G14" s="78" t="s">
        <v>210</v>
      </c>
      <c r="H14" s="79">
        <v>4</v>
      </c>
      <c r="I14" s="18" t="s">
        <v>393</v>
      </c>
      <c r="J14" s="14" t="s">
        <v>150</v>
      </c>
      <c r="K14" s="79">
        <v>3</v>
      </c>
      <c r="L14" s="92" t="s">
        <v>347</v>
      </c>
      <c r="M14" s="93">
        <v>3000</v>
      </c>
      <c r="N14" s="37">
        <f>IF(AND(M14&gt;0,L14&lt;&gt;""),IF(M14&gt;(ROUND( (ROUND(ROUND(H14,0)*(VLOOKUP(J14,TravelCosts,2,FALSE)),2))/0.65,2)),ROUND(M14*0.8,2),"covered by unit cost"),0)</f>
        <v>2400</v>
      </c>
      <c r="O14" s="37">
        <f>IF(OR(AND(L14&lt;&gt;"",M14&gt;0,ISNUMBER(N14)),R14="Error"),0,ROUND(ROUND(H14,0)*(VLOOKUP(J14,TravelCosts,2,FALSE)),2))</f>
        <v>0</v>
      </c>
      <c r="P14" s="37">
        <f>IF(R14="Error",0,IF(AND(G14="Staff",K14&gt;0,K14&lt;15),(120*K14)*H14,IF(AND(G14="Staff",K14&gt;14,K14&lt;61),(1680+((K14-14)*70))*H14,IF(AND(G14="Staff",K14&gt;60,K14&lt;91),(4900+((K14-60)*50))*H14,IF(AND(G14="Student",K14&gt;0,K14&lt;15),(55*K14)*H14,IF(AND(G14="Student",K14&gt;14,K14&lt;91),(770+((K14-14)*40))*H14,0))))))</f>
        <v>660</v>
      </c>
      <c r="Q14" s="38">
        <f>IFERROR(N14+O14+P14,O14+P14)</f>
        <v>3060</v>
      </c>
      <c r="R14" s="91"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
      </c>
    </row>
    <row r="16" spans="2:18" x14ac:dyDescent="0.35">
      <c r="M16" s="96"/>
    </row>
    <row r="18" spans="12:15" x14ac:dyDescent="0.35">
      <c r="L18" s="95"/>
      <c r="M18" s="95"/>
    </row>
    <row r="19" spans="12:15" x14ac:dyDescent="0.35">
      <c r="M19" s="95"/>
      <c r="N19" s="95"/>
      <c r="O19" s="95"/>
    </row>
  </sheetData>
  <sheetProtection algorithmName="SHA-512" hashValue="JHEotUiHcJcKhHcjMe7Po37k5Al/SAHRaJ36sWzitRgbAYK/9fR2DXrqmKvBfDWGF4j/dhpk9fTFNyrdILirMA==" saltValue="TcBN46owiFV2R5X7UP7MUg==" spinCount="100000" sheet="1" selectLockedCells="1"/>
  <dataConsolidate/>
  <mergeCells count="17">
    <mergeCell ref="B6:C6"/>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s>
  <conditionalFormatting sqref="R14">
    <cfRule type="containsText" dxfId="88" priority="1461" operator="containsText" text="Error">
      <formula>NOT(ISERROR(SEARCH("Error",R14)))</formula>
    </cfRule>
  </conditionalFormatting>
  <conditionalFormatting sqref="D13:E14">
    <cfRule type="containsBlanks" dxfId="87" priority="1459">
      <formula>LEN(TRIM(D13))=0</formula>
    </cfRule>
  </conditionalFormatting>
  <conditionalFormatting sqref="O4:Q4">
    <cfRule type="cellIs" dxfId="86" priority="1207" operator="equal">
      <formula>"EXCEEDING 80% OF TOTAL TRAVEL COSTS"</formula>
    </cfRule>
  </conditionalFormatting>
  <conditionalFormatting sqref="H13 K13">
    <cfRule type="expression" dxfId="85" priority="1199">
      <formula>ISNUMBER(H13)=FALSE</formula>
    </cfRule>
  </conditionalFormatting>
  <conditionalFormatting sqref="F13:K13">
    <cfRule type="containsBlanks" dxfId="84" priority="124">
      <formula>LEN(TRIM(F13))=0</formula>
    </cfRule>
  </conditionalFormatting>
  <conditionalFormatting sqref="B13:C13">
    <cfRule type="containsBlanks" dxfId="83" priority="1191">
      <formula>LEN(TRIM(B13))=0</formula>
    </cfRule>
  </conditionalFormatting>
  <conditionalFormatting sqref="B14:C14">
    <cfRule type="containsBlanks" dxfId="82" priority="1190">
      <formula>LEN(TRIM(B14))=0</formula>
    </cfRule>
  </conditionalFormatting>
  <conditionalFormatting sqref="K13">
    <cfRule type="cellIs" dxfId="81" priority="119" operator="lessThan">
      <formula>0</formula>
    </cfRule>
    <cfRule type="cellIs" dxfId="80" priority="1204" operator="equal">
      <formula>0</formula>
    </cfRule>
  </conditionalFormatting>
  <conditionalFormatting sqref="H13">
    <cfRule type="cellIs" dxfId="79" priority="1195" operator="lessThanOrEqual">
      <formula>0</formula>
    </cfRule>
  </conditionalFormatting>
  <conditionalFormatting sqref="H14 K14">
    <cfRule type="expression" dxfId="78" priority="117">
      <formula>ISNUMBER(H14)=FALSE</formula>
    </cfRule>
  </conditionalFormatting>
  <conditionalFormatting sqref="F14:K14">
    <cfRule type="containsBlanks" dxfId="77" priority="115">
      <formula>LEN(TRIM(F14))=0</formula>
    </cfRule>
  </conditionalFormatting>
  <conditionalFormatting sqref="K14">
    <cfRule type="cellIs" dxfId="76" priority="114" operator="lessThan">
      <formula>0</formula>
    </cfRule>
    <cfRule type="cellIs" dxfId="75" priority="118" operator="equal">
      <formula>0</formula>
    </cfRule>
  </conditionalFormatting>
  <conditionalFormatting sqref="H14">
    <cfRule type="cellIs" dxfId="74" priority="116" operator="lessThanOrEqual">
      <formula>0</formula>
    </cfRule>
  </conditionalFormatting>
  <conditionalFormatting sqref="M14">
    <cfRule type="expression" dxfId="73" priority="97">
      <formula>AND(M14=0,L14&lt;&gt;"")</formula>
    </cfRule>
  </conditionalFormatting>
  <conditionalFormatting sqref="L14">
    <cfRule type="expression" dxfId="72" priority="99">
      <formula>AND(L14="",M14&gt;0)</formula>
    </cfRule>
  </conditionalFormatting>
  <conditionalFormatting sqref="L14:M14">
    <cfRule type="cellIs" dxfId="71" priority="100" operator="equal">
      <formula>0</formula>
    </cfRule>
  </conditionalFormatting>
  <conditionalFormatting sqref="M13">
    <cfRule type="expression" dxfId="70" priority="89">
      <formula>AND(M13=0,L13&lt;&gt;"")</formula>
    </cfRule>
  </conditionalFormatting>
  <conditionalFormatting sqref="L13">
    <cfRule type="expression" dxfId="69" priority="90">
      <formula>AND(L13="",M13&gt;0)</formula>
    </cfRule>
  </conditionalFormatting>
  <conditionalFormatting sqref="L13:M13">
    <cfRule type="cellIs" dxfId="68" priority="91" operator="equal">
      <formula>0</formula>
    </cfRule>
  </conditionalFormatting>
  <conditionalFormatting sqref="N14">
    <cfRule type="expression" dxfId="67" priority="77">
      <formula>ISNUMBER(N14)=FALSE</formula>
    </cfRule>
  </conditionalFormatting>
  <conditionalFormatting sqref="R13">
    <cfRule type="containsText" dxfId="66" priority="64" operator="containsText" text="Error">
      <formula>NOT(ISERROR(SEARCH("Error",R13)))</formula>
    </cfRule>
  </conditionalFormatting>
  <conditionalFormatting sqref="N13">
    <cfRule type="expression" dxfId="65" priority="63">
      <formula>ISNUMBER(N13)=FALSE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4" xr:uid="{00000000-0002-0000-0300-000000000000}"/>
    <dataValidation allowBlank="1" showInputMessage="1" showErrorMessage="1" error="Please encode City of Destination" prompt="Please encode City of Destination" sqref="I13:I14" xr:uid="{00000000-0002-0000-0300-000001000000}"/>
    <dataValidation type="whole" allowBlank="1" showInputMessage="1" showErrorMessage="1" error="Format error (whole number only)" prompt="Please encode number (whole number only)" sqref="H13:H14" xr:uid="{00000000-0002-0000-0300-000002000000}">
      <formula1>0</formula1>
      <formula2>50000</formula2>
    </dataValidation>
    <dataValidation allowBlank="1" showInputMessage="1" showErrorMessage="1" error="Please encode City of Departure" prompt="Please encode City of Departure" sqref="F13:F14"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14" xr:uid="{00000000-0002-0000-0300-000004000000}">
      <formula1>0</formula1>
      <formula2>90</formula2>
    </dataValidation>
    <dataValidation type="list" allowBlank="1" showInputMessage="1" showErrorMessage="1" error="Click arrow to select Category" prompt="Click arrow to select Category" sqref="G13:G14" xr:uid="{00000000-0002-0000-0300-000005000000}">
      <formula1>Category2</formula1>
    </dataValidation>
    <dataValidation type="list" allowBlank="1" showInputMessage="1" showErrorMessage="1" error="Click arrow to select Work Package" prompt="Click arrow to select Work Package" sqref="B13:B14" xr:uid="{00000000-0002-0000-0300-000006000000}">
      <formula1>WorkPackage</formula1>
    </dataValidation>
    <dataValidation type="list" allowBlank="1" showInputMessage="1" showErrorMessage="1" error="Click arrow to select Distance" prompt="Click arrow to select Distance" sqref="J13:J14" xr:uid="{00000000-0002-0000-0300-000007000000}">
      <formula1>TravelBands</formula1>
    </dataValidation>
    <dataValidation type="list" allowBlank="1" showInputMessage="1" showErrorMessage="1" error="Click arrow to select Partner N°" prompt="Click arrow to select Partner N°" sqref="C13:C14" xr:uid="{00000000-0002-0000-0300-000008000000}">
      <formula1>PartnerN°</formula1>
    </dataValidation>
    <dataValidation type="list" allowBlank="1" showInputMessage="1" showErrorMessage="1" errorTitle="Select correct option" error="Please use the drop down menu to select the correct option" sqref="L13:L14" xr:uid="{00000000-0002-0000-0300-000009000000}">
      <formula1>Exceptional_costs</formula1>
    </dataValidation>
    <dataValidation type="decimal" operator="greaterThanOrEqual" allowBlank="1" showInputMessage="1" showErrorMessage="1" errorTitle="Warning: Cost must be number" error="Please enter a numeric value." sqref="M13:M14"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6"/>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185</v>
      </c>
      <c r="C2" s="149"/>
      <c r="D2" s="149"/>
      <c r="E2" s="149"/>
      <c r="F2" s="149"/>
      <c r="G2" s="149"/>
      <c r="H2" s="149"/>
      <c r="I2" s="149"/>
    </row>
    <row r="3" spans="2:9" s="20" customFormat="1" ht="8.1" customHeight="1" x14ac:dyDescent="0.35">
      <c r="B3" s="128"/>
      <c r="C3" s="129"/>
      <c r="D3" s="129"/>
      <c r="E3" s="129"/>
      <c r="F3" s="129"/>
      <c r="G3" s="129"/>
      <c r="H3" s="129"/>
      <c r="I3" s="130"/>
    </row>
    <row r="4" spans="2:9" s="20" customFormat="1" ht="9.9" customHeight="1" x14ac:dyDescent="0.35">
      <c r="B4" s="174" t="s">
        <v>184</v>
      </c>
      <c r="C4" s="177">
        <f>SUM(H:H)</f>
        <v>210000</v>
      </c>
      <c r="D4" s="178"/>
      <c r="E4" s="122"/>
      <c r="F4" s="123"/>
      <c r="G4" s="123"/>
      <c r="H4" s="123"/>
      <c r="I4" s="124"/>
    </row>
    <row r="5" spans="2:9" s="20" customFormat="1" ht="9.9" customHeight="1" x14ac:dyDescent="0.35">
      <c r="B5" s="175"/>
      <c r="C5" s="179"/>
      <c r="D5" s="180"/>
      <c r="E5" s="122"/>
      <c r="F5" s="123"/>
      <c r="G5" s="123"/>
      <c r="H5" s="123"/>
      <c r="I5" s="124"/>
    </row>
    <row r="6" spans="2:9" s="20" customFormat="1" ht="9.9" customHeight="1" x14ac:dyDescent="0.35">
      <c r="B6" s="175"/>
      <c r="C6" s="179"/>
      <c r="D6" s="180"/>
      <c r="E6" s="122"/>
      <c r="F6" s="123"/>
      <c r="G6" s="123"/>
      <c r="H6" s="123"/>
      <c r="I6" s="124"/>
    </row>
    <row r="7" spans="2:9" s="20" customFormat="1" ht="9.9" customHeight="1" x14ac:dyDescent="0.35">
      <c r="B7" s="175"/>
      <c r="C7" s="179"/>
      <c r="D7" s="180"/>
      <c r="E7" s="122"/>
      <c r="F7" s="123"/>
      <c r="G7" s="123"/>
      <c r="H7" s="123"/>
      <c r="I7" s="124"/>
    </row>
    <row r="8" spans="2:9" s="20" customFormat="1" ht="9.9" customHeight="1" x14ac:dyDescent="0.35">
      <c r="B8" s="175"/>
      <c r="C8" s="179"/>
      <c r="D8" s="180"/>
      <c r="E8" s="122"/>
      <c r="F8" s="123"/>
      <c r="G8" s="123"/>
      <c r="H8" s="123"/>
      <c r="I8" s="124"/>
    </row>
    <row r="9" spans="2:9" s="20" customFormat="1" ht="9.9" customHeight="1" x14ac:dyDescent="0.35">
      <c r="B9" s="176"/>
      <c r="C9" s="181"/>
      <c r="D9" s="182"/>
      <c r="E9" s="122"/>
      <c r="F9" s="123"/>
      <c r="G9" s="123"/>
      <c r="H9" s="123"/>
      <c r="I9" s="124"/>
    </row>
    <row r="10" spans="2:9" s="20" customFormat="1" ht="8.1" customHeight="1" x14ac:dyDescent="0.35">
      <c r="B10" s="125"/>
      <c r="C10" s="126"/>
      <c r="D10" s="126"/>
      <c r="E10" s="126"/>
      <c r="F10" s="126"/>
      <c r="G10" s="126"/>
      <c r="H10" s="126"/>
      <c r="I10" s="127"/>
    </row>
    <row r="11" spans="2:9" s="45" customFormat="1" ht="42" customHeight="1" x14ac:dyDescent="0.35">
      <c r="B11" s="120" t="s">
        <v>162</v>
      </c>
      <c r="C11" s="120" t="s">
        <v>147</v>
      </c>
      <c r="D11" s="120" t="s">
        <v>216</v>
      </c>
      <c r="E11" s="173" t="s">
        <v>217</v>
      </c>
      <c r="F11" s="132" t="s">
        <v>132</v>
      </c>
      <c r="G11" s="172" t="s">
        <v>165</v>
      </c>
      <c r="H11" s="172" t="s">
        <v>164</v>
      </c>
      <c r="I11" s="172" t="s">
        <v>218</v>
      </c>
    </row>
    <row r="12" spans="2:9" ht="23.85" customHeight="1" x14ac:dyDescent="0.35">
      <c r="B12" s="121"/>
      <c r="C12" s="121"/>
      <c r="D12" s="121"/>
      <c r="E12" s="132"/>
      <c r="F12" s="121"/>
      <c r="G12" s="121"/>
      <c r="H12" s="121"/>
      <c r="I12" s="121"/>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t="s">
        <v>173</v>
      </c>
      <c r="C14" s="19" t="s">
        <v>21</v>
      </c>
      <c r="D14" s="42" t="str">
        <f>IFERROR(IF(VLOOKUP(C14,PartnerN°Ref,2,FALSE)=0,"",VLOOKUP(C14,PartnerN°Ref,2,FALSE)),"")</f>
        <v>InterSoft Education</v>
      </c>
      <c r="E14" s="42" t="str">
        <f>IFERROR(IF(OR(VLOOKUP(C14,PartnerN°Ref,4,FALSE)="Country not found",VLOOKUP(C14,PartnerN°Ref,3,FALSE)=0),"",VLOOKUP(C14,PartnerN°Ref,3,FALSE)),"")</f>
        <v>Bosnia and Herzegovina</v>
      </c>
      <c r="F14" s="18" t="s">
        <v>377</v>
      </c>
      <c r="G14" s="35">
        <v>70000</v>
      </c>
      <c r="H14" s="36">
        <f>IF(I14="Error",0,ROUND(G14,2))</f>
        <v>70000</v>
      </c>
      <c r="I14" s="33" t="str">
        <f>IF(OR(COUNTIF(WorkPackage,B14)=0,COUNTIF(PartnerN°,C14)=0,D14="",COUNTIF(CountryEligEquip,E14)=0,F14="",ISNUMBER(G14)=FALSE,IF(ISNUMBER(G14)=TRUE,G14=INT(G14*100)/100=FALSE)),"Error","")</f>
        <v/>
      </c>
    </row>
    <row r="15" spans="2:9" s="34" customFormat="1" x14ac:dyDescent="0.3">
      <c r="B15" s="14" t="s">
        <v>173</v>
      </c>
      <c r="C15" s="19" t="s">
        <v>21</v>
      </c>
      <c r="D15" s="42" t="str">
        <f>IFERROR(IF(VLOOKUP(C15,PartnerN°Ref,2,FALSE)=0,"",VLOOKUP(C15,PartnerN°Ref,2,FALSE)),"")</f>
        <v>InterSoft Education</v>
      </c>
      <c r="E15" s="42" t="str">
        <f>IFERROR(IF(OR(VLOOKUP(C15,PartnerN°Ref,4,FALSE)="Country not found",VLOOKUP(C15,PartnerN°Ref,3,FALSE)=0),"",VLOOKUP(C15,PartnerN°Ref,3,FALSE)),"")</f>
        <v>Bosnia and Herzegovina</v>
      </c>
      <c r="F15" s="18" t="s">
        <v>378</v>
      </c>
      <c r="G15" s="35">
        <v>70000</v>
      </c>
      <c r="H15" s="36">
        <f>IF(I15="Error",0,ROUND(G15,2))</f>
        <v>70000</v>
      </c>
      <c r="I15" s="33" t="str">
        <f>IF(OR(COUNTIF(WorkPackage,B15)=0,COUNTIF(PartnerN°,C15)=0,D15="",COUNTIF(CountryEligEquip,E15)=0,F15="",ISNUMBER(G15)=FALSE,IF(ISNUMBER(G15)=TRUE,G15=INT(G15*100)/100=FALSE)),"Error","")</f>
        <v/>
      </c>
    </row>
    <row r="16" spans="2:9" s="34" customFormat="1" x14ac:dyDescent="0.3">
      <c r="B16" s="14" t="s">
        <v>172</v>
      </c>
      <c r="C16" s="19" t="s">
        <v>21</v>
      </c>
      <c r="D16" s="42" t="str">
        <f>IFERROR(IF(VLOOKUP(C16,PartnerN°Ref,2,FALSE)=0,"",VLOOKUP(C16,PartnerN°Ref,2,FALSE)),"")</f>
        <v>InterSoft Education</v>
      </c>
      <c r="E16" s="42" t="str">
        <f>IFERROR(IF(OR(VLOOKUP(C16,PartnerN°Ref,4,FALSE)="Country not found",VLOOKUP(C16,PartnerN°Ref,3,FALSE)=0),"",VLOOKUP(C16,PartnerN°Ref,3,FALSE)),"")</f>
        <v>Bosnia and Herzegovina</v>
      </c>
      <c r="F16" s="18" t="s">
        <v>379</v>
      </c>
      <c r="G16" s="35">
        <v>70000</v>
      </c>
      <c r="H16" s="36">
        <f>IF(I16="Error",0,ROUND(G16,2))</f>
        <v>70000</v>
      </c>
      <c r="I16" s="33" t="str">
        <f>IF(OR(COUNTIF(WorkPackage,B16)=0,COUNTIF(PartnerN°,C16)=0,D16="",COUNTIF(CountryEligEquip,E16)=0,F16="",ISNUMBER(G16)=FALSE,IF(ISNUMBER(G16)=TRUE,G16=INT(G16*100)/100=FALSE)),"Error","")</f>
        <v/>
      </c>
    </row>
  </sheetData>
  <sheetProtection algorithmName="SHA-512" hashValue="5T2Abg2VrYD16+hOwKd+QlEK6JkhVhVX0cxESjlkCC+hDa3W656mtVfT59XykE+ZlYu67ahKpfnb+1S10Uac6g==" saltValue="94uJIjce+Xl3/Bur3ypP0g=="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6">
    <cfRule type="containsText" dxfId="64" priority="376" operator="containsText" text="Error">
      <formula>NOT(ISERROR(SEARCH("Error",I13)))</formula>
    </cfRule>
  </conditionalFormatting>
  <conditionalFormatting sqref="D13:E16">
    <cfRule type="containsBlanks" dxfId="63" priority="371">
      <formula>LEN(TRIM(D13))=0</formula>
    </cfRule>
  </conditionalFormatting>
  <conditionalFormatting sqref="E13">
    <cfRule type="expression" dxfId="62" priority="293">
      <formula>COUNTIF(CountryEligEquip,E13)=0</formula>
    </cfRule>
  </conditionalFormatting>
  <conditionalFormatting sqref="E14">
    <cfRule type="expression" dxfId="61" priority="294">
      <formula>COUNTIF(CountryEligEquip,E14)=0</formula>
    </cfRule>
  </conditionalFormatting>
  <conditionalFormatting sqref="G13">
    <cfRule type="cellIs" dxfId="60" priority="22" operator="lessThanOrEqual">
      <formula>0</formula>
    </cfRule>
  </conditionalFormatting>
  <conditionalFormatting sqref="F13:G13">
    <cfRule type="containsBlanks" dxfId="59" priority="19">
      <formula>LEN(TRIM(F13))=0</formula>
    </cfRule>
  </conditionalFormatting>
  <conditionalFormatting sqref="G14">
    <cfRule type="cellIs" dxfId="58" priority="18" operator="lessThanOrEqual">
      <formula>0</formula>
    </cfRule>
  </conditionalFormatting>
  <conditionalFormatting sqref="F14:G14">
    <cfRule type="containsBlanks" dxfId="57" priority="17">
      <formula>LEN(TRIM(F14))=0</formula>
    </cfRule>
  </conditionalFormatting>
  <conditionalFormatting sqref="B13:C13">
    <cfRule type="containsBlanks" dxfId="56" priority="16">
      <formula>LEN(TRIM(B13))=0</formula>
    </cfRule>
  </conditionalFormatting>
  <conditionalFormatting sqref="B14:C14">
    <cfRule type="containsBlanks" dxfId="55" priority="15">
      <formula>LEN(TRIM(B14))=0</formula>
    </cfRule>
  </conditionalFormatting>
  <conditionalFormatting sqref="E15">
    <cfRule type="expression" dxfId="54" priority="8">
      <formula>COUNTIF(CountryEligEquip,E15)=0</formula>
    </cfRule>
  </conditionalFormatting>
  <conditionalFormatting sqref="G15">
    <cfRule type="cellIs" dxfId="53" priority="7" operator="lessThanOrEqual">
      <formula>0</formula>
    </cfRule>
  </conditionalFormatting>
  <conditionalFormatting sqref="F15:G15">
    <cfRule type="containsBlanks" dxfId="52" priority="6">
      <formula>LEN(TRIM(F15))=0</formula>
    </cfRule>
  </conditionalFormatting>
  <conditionalFormatting sqref="B15:C15">
    <cfRule type="containsBlanks" dxfId="51" priority="5">
      <formula>LEN(TRIM(B15))=0</formula>
    </cfRule>
  </conditionalFormatting>
  <conditionalFormatting sqref="E16">
    <cfRule type="expression" dxfId="50" priority="4">
      <formula>COUNTIF(CountryEligEquip,E16)=0</formula>
    </cfRule>
  </conditionalFormatting>
  <conditionalFormatting sqref="G16">
    <cfRule type="cellIs" dxfId="49" priority="3" operator="lessThanOrEqual">
      <formula>0</formula>
    </cfRule>
  </conditionalFormatting>
  <conditionalFormatting sqref="F16:G16">
    <cfRule type="containsBlanks" dxfId="48" priority="2">
      <formula>LEN(TRIM(F16))=0</formula>
    </cfRule>
  </conditionalFormatting>
  <conditionalFormatting sqref="B16:C16">
    <cfRule type="containsBlanks" dxfId="47" priority="1">
      <formula>LEN(TRIM(B16))=0</formula>
    </cfRule>
  </conditionalFormatting>
  <dataValidations count="4">
    <dataValidation type="custom" allowBlank="1" showInputMessage="1" showErrorMessage="1" error="Format error (2 decimals only)" prompt="Please encode amount (2 decimals only)" sqref="G13:G16" xr:uid="{00000000-0002-0000-0400-000000000000}">
      <formula1>G13=INT(G13*100)/100</formula1>
    </dataValidation>
    <dataValidation allowBlank="1" showInputMessage="1" showErrorMessage="1" error="Please encode Nature, type and specifications" prompt="Please encode Nature, type and specifications" sqref="F13:F16" xr:uid="{00000000-0002-0000-0400-000001000000}"/>
    <dataValidation type="list" allowBlank="1" showInputMessage="1" showErrorMessage="1" error="Click arrow to select Work Package" prompt="Click arrow to select Work Package" sqref="B13:B16" xr:uid="{00000000-0002-0000-0400-000002000000}">
      <formula1>WorkPackage</formula1>
    </dataValidation>
    <dataValidation type="list" allowBlank="1" showInputMessage="1" showErrorMessage="1" error="Click arrow to select Partner N°" prompt="Click arrow to select Partner N°" sqref="C13:C16"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186</v>
      </c>
      <c r="C2" s="149"/>
      <c r="D2" s="149"/>
      <c r="E2" s="149"/>
      <c r="F2" s="149"/>
      <c r="G2" s="149"/>
      <c r="H2" s="149"/>
      <c r="I2" s="149"/>
    </row>
    <row r="3" spans="2:9" s="20" customFormat="1" ht="8.1" customHeight="1" x14ac:dyDescent="0.35">
      <c r="B3" s="128"/>
      <c r="C3" s="129"/>
      <c r="D3" s="129"/>
      <c r="E3" s="129"/>
      <c r="F3" s="129"/>
      <c r="G3" s="129"/>
      <c r="H3" s="129"/>
      <c r="I3" s="130"/>
    </row>
    <row r="4" spans="2:9" s="20" customFormat="1" ht="9.9" customHeight="1" x14ac:dyDescent="0.35">
      <c r="B4" s="174" t="s">
        <v>184</v>
      </c>
      <c r="C4" s="177">
        <f>SUM(H:H)</f>
        <v>59000</v>
      </c>
      <c r="D4" s="178"/>
      <c r="E4" s="122"/>
      <c r="F4" s="123"/>
      <c r="G4" s="123"/>
      <c r="H4" s="123"/>
      <c r="I4" s="124"/>
    </row>
    <row r="5" spans="2:9" s="20" customFormat="1" ht="9.9" customHeight="1" x14ac:dyDescent="0.35">
      <c r="B5" s="175"/>
      <c r="C5" s="179"/>
      <c r="D5" s="180"/>
      <c r="E5" s="122"/>
      <c r="F5" s="123"/>
      <c r="G5" s="123"/>
      <c r="H5" s="123"/>
      <c r="I5" s="124"/>
    </row>
    <row r="6" spans="2:9" s="20" customFormat="1" ht="9.9" customHeight="1" x14ac:dyDescent="0.35">
      <c r="B6" s="175"/>
      <c r="C6" s="179"/>
      <c r="D6" s="180"/>
      <c r="E6" s="122"/>
      <c r="F6" s="123"/>
      <c r="G6" s="123"/>
      <c r="H6" s="123"/>
      <c r="I6" s="124"/>
    </row>
    <row r="7" spans="2:9" s="20" customFormat="1" ht="9.9" customHeight="1" x14ac:dyDescent="0.35">
      <c r="B7" s="175"/>
      <c r="C7" s="179"/>
      <c r="D7" s="180"/>
      <c r="E7" s="122"/>
      <c r="F7" s="123"/>
      <c r="G7" s="123"/>
      <c r="H7" s="123"/>
      <c r="I7" s="124"/>
    </row>
    <row r="8" spans="2:9" s="20" customFormat="1" ht="9.9" customHeight="1" x14ac:dyDescent="0.35">
      <c r="B8" s="175"/>
      <c r="C8" s="179"/>
      <c r="D8" s="180"/>
      <c r="E8" s="122"/>
      <c r="F8" s="123"/>
      <c r="G8" s="123"/>
      <c r="H8" s="123"/>
      <c r="I8" s="124"/>
    </row>
    <row r="9" spans="2:9" s="20" customFormat="1" ht="9.9" customHeight="1" x14ac:dyDescent="0.35">
      <c r="B9" s="176"/>
      <c r="C9" s="181"/>
      <c r="D9" s="182"/>
      <c r="E9" s="122"/>
      <c r="F9" s="123"/>
      <c r="G9" s="123"/>
      <c r="H9" s="123"/>
      <c r="I9" s="124"/>
    </row>
    <row r="10" spans="2:9" s="20" customFormat="1" ht="8.1" customHeight="1" x14ac:dyDescent="0.35">
      <c r="B10" s="125"/>
      <c r="C10" s="126"/>
      <c r="D10" s="126"/>
      <c r="E10" s="126"/>
      <c r="F10" s="126"/>
      <c r="G10" s="126"/>
      <c r="H10" s="126"/>
      <c r="I10" s="127"/>
    </row>
    <row r="11" spans="2:9" s="45" customFormat="1" ht="42" customHeight="1" x14ac:dyDescent="0.35">
      <c r="B11" s="120" t="s">
        <v>162</v>
      </c>
      <c r="C11" s="120" t="s">
        <v>147</v>
      </c>
      <c r="D11" s="120" t="s">
        <v>216</v>
      </c>
      <c r="E11" s="120" t="s">
        <v>217</v>
      </c>
      <c r="F11" s="132" t="s">
        <v>132</v>
      </c>
      <c r="G11" s="172" t="s">
        <v>165</v>
      </c>
      <c r="H11" s="172" t="s">
        <v>164</v>
      </c>
      <c r="I11" s="172" t="s">
        <v>218</v>
      </c>
    </row>
    <row r="12" spans="2:9" ht="23.85" customHeight="1" x14ac:dyDescent="0.35">
      <c r="B12" s="121"/>
      <c r="C12" s="121"/>
      <c r="D12" s="121"/>
      <c r="E12" s="121"/>
      <c r="F12" s="121"/>
      <c r="G12" s="121"/>
      <c r="H12" s="121"/>
      <c r="I12" s="121"/>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319</v>
      </c>
      <c r="C14" s="19" t="s">
        <v>8</v>
      </c>
      <c r="D14" s="42" t="str">
        <f>IFERROR(IF(VLOOKUP(C14,PartnerN°Ref,2,FALSE)=0,"",VLOOKUP(C14,PartnerN°Ref,2,FALSE)),"")</f>
        <v>FifthElement</v>
      </c>
      <c r="E14" s="42" t="str">
        <f>IFERROR(IF(OR(VLOOKUP(C14,PartnerN°Ref,4,FALSE)="Country not found",VLOOKUP(C14,PartnerN°Ref,3,FALSE)=0),"",VLOOKUP(C14,PartnerN°Ref,3,FALSE)),"")</f>
        <v>Serbia</v>
      </c>
      <c r="F14" s="18" t="s">
        <v>380</v>
      </c>
      <c r="G14" s="35">
        <v>20000</v>
      </c>
      <c r="H14" s="36">
        <f>IF(I14="Error",0,ROUND(G14,2))</f>
        <v>20000</v>
      </c>
      <c r="I14" s="33" t="str">
        <f>IF(OR(COUNTIF(WorkPackage,B14)=0,COUNTIF(PartnerN°,C14)=0,D14="",COUNTIF(CountryALL,E14)=0,F14="",ISNUMBER(G14)=FALSE,IF(ISNUMBER(G14)=TRUE,G14=INT(G14*100)/100=FALSE)),"Error","")</f>
        <v/>
      </c>
    </row>
    <row r="15" spans="2:9" s="34" customFormat="1" x14ac:dyDescent="0.3">
      <c r="B15" s="14" t="s">
        <v>319</v>
      </c>
      <c r="C15" s="19" t="s">
        <v>11</v>
      </c>
      <c r="D15" s="42" t="str">
        <f>IFERROR(IF(VLOOKUP(C15,PartnerN°Ref,2,FALSE)=0,"",VLOOKUP(C15,PartnerN°Ref,2,FALSE)),"")</f>
        <v>Drustvo za akedmski razvoj (DAR)</v>
      </c>
      <c r="E15" s="42" t="str">
        <f>IFERROR(IF(OR(VLOOKUP(C15,PartnerN°Ref,4,FALSE)="Country not found",VLOOKUP(C15,PartnerN°Ref,3,FALSE)=0),"",VLOOKUP(C15,PartnerN°Ref,3,FALSE)),"")</f>
        <v>Serbia</v>
      </c>
      <c r="F15" s="18" t="s">
        <v>381</v>
      </c>
      <c r="G15" s="35">
        <v>10000</v>
      </c>
      <c r="H15" s="36">
        <f>IF(I15="Error",0,ROUND(G15,2))</f>
        <v>10000</v>
      </c>
      <c r="I15" s="33" t="str">
        <f>IF(OR(COUNTIF(WorkPackage,B15)=0,COUNTIF(PartnerN°,C15)=0,D15="",COUNTIF(CountryALL,E15)=0,F15="",ISNUMBER(G15)=FALSE,IF(ISNUMBER(G15)=TRUE,G15=INT(G15*100)/100=FALSE)),"Error","")</f>
        <v/>
      </c>
    </row>
    <row r="16" spans="2:9" s="34" customFormat="1" x14ac:dyDescent="0.3">
      <c r="B16" s="14" t="s">
        <v>319</v>
      </c>
      <c r="C16" s="19" t="s">
        <v>11</v>
      </c>
      <c r="D16" s="42" t="str">
        <f>IFERROR(IF(VLOOKUP(C16,PartnerN°Ref,2,FALSE)=0,"",VLOOKUP(C16,PartnerN°Ref,2,FALSE)),"")</f>
        <v>Drustvo za akedmski razvoj (DAR)</v>
      </c>
      <c r="E16" s="42" t="str">
        <f>IFERROR(IF(OR(VLOOKUP(C16,PartnerN°Ref,4,FALSE)="Country not found",VLOOKUP(C16,PartnerN°Ref,3,FALSE)=0),"",VLOOKUP(C16,PartnerN°Ref,3,FALSE)),"")</f>
        <v>Serbia</v>
      </c>
      <c r="F16" s="18" t="s">
        <v>382</v>
      </c>
      <c r="G16" s="35">
        <v>10000</v>
      </c>
      <c r="H16" s="36">
        <f>IF(I16="Error",0,ROUND(G16,2))</f>
        <v>10000</v>
      </c>
      <c r="I16" s="33" t="str">
        <f>IF(OR(COUNTIF(WorkPackage,B16)=0,COUNTIF(PartnerN°,C16)=0,D16="",COUNTIF(CountryALL,E16)=0,F16="",ISNUMBER(G16)=FALSE,IF(ISNUMBER(G16)=TRUE,G16=INT(G16*100)/100=FALSE)),"Error","")</f>
        <v/>
      </c>
    </row>
    <row r="17" spans="2:9" s="34" customFormat="1" x14ac:dyDescent="0.3">
      <c r="B17" s="14" t="s">
        <v>174</v>
      </c>
      <c r="C17" s="19" t="s">
        <v>14</v>
      </c>
      <c r="D17" s="42" t="str">
        <f>IFERROR(IF(VLOOKUP(C17,PartnerN°Ref,2,FALSE)=0,"",VLOOKUP(C17,PartnerN°Ref,2,FALSE)),"")</f>
        <v>Radboud University</v>
      </c>
      <c r="E17" s="42" t="str">
        <f>IFERROR(IF(OR(VLOOKUP(C17,PartnerN°Ref,4,FALSE)="Country not found",VLOOKUP(C17,PartnerN°Ref,3,FALSE)=0),"",VLOOKUP(C17,PartnerN°Ref,3,FALSE)),"")</f>
        <v>Netherlands</v>
      </c>
      <c r="F17" s="18" t="s">
        <v>383</v>
      </c>
      <c r="G17" s="35">
        <v>19000</v>
      </c>
      <c r="H17" s="36">
        <f>IF(I17="Error",0,ROUND(G17,2))</f>
        <v>19000</v>
      </c>
      <c r="I17" s="33" t="str">
        <f>IF(OR(COUNTIF(WorkPackage,B17)=0,COUNTIF(PartnerN°,C17)=0,D17="",COUNTIF(CountryALL,E17)=0,F17="",ISNUMBER(G17)=FALSE,IF(ISNUMBER(G17)=TRUE,G17=INT(G17*100)/100=FALSE)),"Error","")</f>
        <v/>
      </c>
    </row>
  </sheetData>
  <sheetProtection algorithmName="SHA-512" hashValue="YVbKRljHesPC292E2lpeoq5oJbRgcsgHgXxEVMtm9jh2sg8TT7WlZaRRHdGbWhymrWwAztgCLIFfz340GfEFlw==" saltValue="i6JuUsBYForGVENmyBhzSw=="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7">
    <cfRule type="containsText" dxfId="46" priority="198" operator="containsText" text="Error">
      <formula>NOT(ISERROR(SEARCH("Error",I13)))</formula>
    </cfRule>
  </conditionalFormatting>
  <conditionalFormatting sqref="D13:E17">
    <cfRule type="containsBlanks" dxfId="45" priority="192">
      <formula>LEN(TRIM(D13))=0</formula>
    </cfRule>
  </conditionalFormatting>
  <conditionalFormatting sqref="G13">
    <cfRule type="cellIs" dxfId="44" priority="17" operator="lessThanOrEqual">
      <formula>0</formula>
    </cfRule>
  </conditionalFormatting>
  <conditionalFormatting sqref="F13:G13">
    <cfRule type="containsBlanks" dxfId="43" priority="14">
      <formula>LEN(TRIM(F13))=0</formula>
    </cfRule>
  </conditionalFormatting>
  <conditionalFormatting sqref="G14">
    <cfRule type="cellIs" dxfId="42" priority="13" operator="lessThanOrEqual">
      <formula>0</formula>
    </cfRule>
  </conditionalFormatting>
  <conditionalFormatting sqref="F14:G14">
    <cfRule type="containsBlanks" dxfId="41" priority="12">
      <formula>LEN(TRIM(F14))=0</formula>
    </cfRule>
  </conditionalFormatting>
  <conditionalFormatting sqref="B13:C13">
    <cfRule type="containsBlanks" dxfId="40" priority="11">
      <formula>LEN(TRIM(B13))=0</formula>
    </cfRule>
  </conditionalFormatting>
  <conditionalFormatting sqref="B14:C14">
    <cfRule type="containsBlanks" dxfId="39" priority="10">
      <formula>LEN(TRIM(B14))=0</formula>
    </cfRule>
  </conditionalFormatting>
  <conditionalFormatting sqref="G15">
    <cfRule type="cellIs" dxfId="38" priority="9" operator="lessThanOrEqual">
      <formula>0</formula>
    </cfRule>
  </conditionalFormatting>
  <conditionalFormatting sqref="F15:G15">
    <cfRule type="containsBlanks" dxfId="37" priority="8">
      <formula>LEN(TRIM(F15))=0</formula>
    </cfRule>
  </conditionalFormatting>
  <conditionalFormatting sqref="B15:C15">
    <cfRule type="containsBlanks" dxfId="36" priority="7">
      <formula>LEN(TRIM(B15))=0</formula>
    </cfRule>
  </conditionalFormatting>
  <conditionalFormatting sqref="G16">
    <cfRule type="cellIs" dxfId="35" priority="6" operator="lessThanOrEqual">
      <formula>0</formula>
    </cfRule>
  </conditionalFormatting>
  <conditionalFormatting sqref="F16:G16">
    <cfRule type="containsBlanks" dxfId="34" priority="5">
      <formula>LEN(TRIM(F16))=0</formula>
    </cfRule>
  </conditionalFormatting>
  <conditionalFormatting sqref="B16:C16">
    <cfRule type="containsBlanks" dxfId="33" priority="4">
      <formula>LEN(TRIM(B16))=0</formula>
    </cfRule>
  </conditionalFormatting>
  <conditionalFormatting sqref="G17">
    <cfRule type="cellIs" dxfId="32" priority="3" operator="lessThanOrEqual">
      <formula>0</formula>
    </cfRule>
  </conditionalFormatting>
  <conditionalFormatting sqref="F17:G17">
    <cfRule type="containsBlanks" dxfId="31" priority="2">
      <formula>LEN(TRIM(F17))=0</formula>
    </cfRule>
  </conditionalFormatting>
  <conditionalFormatting sqref="B17:C17">
    <cfRule type="containsBlanks" dxfId="30" priority="1">
      <formula>LEN(TRIM(B17))=0</formula>
    </cfRule>
  </conditionalFormatting>
  <dataValidations xWindow="126" yWindow="424" count="4">
    <dataValidation type="custom" allowBlank="1" showInputMessage="1" showErrorMessage="1" error="Format error (2 decimals only)" prompt="Please encode amount (2 decimals only)" sqref="G13:G17" xr:uid="{00000000-0002-0000-0500-000000000000}">
      <formula1>G13=INT(G13*100)/100</formula1>
    </dataValidation>
    <dataValidation allowBlank="1" showInputMessage="1" showErrorMessage="1" error="Please encode Nature, type and specifications" prompt="Please encode Nature, type and specifications" sqref="F13:F17" xr:uid="{00000000-0002-0000-0500-000001000000}"/>
    <dataValidation type="list" allowBlank="1" showInputMessage="1" showErrorMessage="1" error="Click arrow to select Work Package" prompt="Click arrow to select Work Package" sqref="B13:B17" xr:uid="{00000000-0002-0000-0500-000002000000}">
      <formula1>WorkPackage</formula1>
    </dataValidation>
    <dataValidation type="list" allowBlank="1" showInputMessage="1" showErrorMessage="1" error="Click arrow to select Partner N°" prompt="Click arrow to select Partner N°" sqref="C13:C17"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0"/>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71"/>
      <c r="C1" s="171"/>
      <c r="D1" s="171"/>
      <c r="E1" s="171"/>
      <c r="F1" s="171"/>
      <c r="G1" s="171"/>
      <c r="H1" s="171"/>
      <c r="I1" s="171"/>
      <c r="J1" s="171"/>
    </row>
    <row r="2" spans="2:10" s="20" customFormat="1" ht="39.9" customHeight="1" x14ac:dyDescent="0.35">
      <c r="B2" s="131" t="s">
        <v>199</v>
      </c>
      <c r="C2" s="131"/>
      <c r="D2" s="131"/>
      <c r="E2" s="131"/>
      <c r="F2" s="131"/>
      <c r="G2" s="131"/>
      <c r="H2" s="131"/>
      <c r="I2" s="131"/>
      <c r="J2" s="131"/>
    </row>
    <row r="3" spans="2:10" s="20" customFormat="1" ht="8.1" customHeight="1" x14ac:dyDescent="0.35">
      <c r="B3" s="128"/>
      <c r="C3" s="129"/>
      <c r="D3" s="129"/>
      <c r="E3" s="129"/>
      <c r="F3" s="129"/>
      <c r="G3" s="129"/>
      <c r="H3" s="129"/>
      <c r="I3" s="129"/>
      <c r="J3" s="130"/>
    </row>
    <row r="4" spans="2:10" s="20" customFormat="1" ht="9.9" customHeight="1" x14ac:dyDescent="0.35">
      <c r="B4" s="186" t="s">
        <v>184</v>
      </c>
      <c r="C4" s="183">
        <f>SUM(I:I)</f>
        <v>125000</v>
      </c>
      <c r="D4" s="189"/>
      <c r="E4" s="190"/>
      <c r="F4" s="190"/>
      <c r="G4" s="190"/>
      <c r="H4" s="190"/>
      <c r="I4" s="190"/>
      <c r="J4" s="191"/>
    </row>
    <row r="5" spans="2:10" s="20" customFormat="1" ht="9.9" customHeight="1" x14ac:dyDescent="0.35">
      <c r="B5" s="187"/>
      <c r="C5" s="184"/>
      <c r="D5" s="189"/>
      <c r="E5" s="190"/>
      <c r="F5" s="190"/>
      <c r="G5" s="190"/>
      <c r="H5" s="190"/>
      <c r="I5" s="190"/>
      <c r="J5" s="191"/>
    </row>
    <row r="6" spans="2:10" s="20" customFormat="1" ht="9.9" customHeight="1" x14ac:dyDescent="0.35">
      <c r="B6" s="187"/>
      <c r="C6" s="184"/>
      <c r="D6" s="189"/>
      <c r="E6" s="190"/>
      <c r="F6" s="190"/>
      <c r="G6" s="190"/>
      <c r="H6" s="190"/>
      <c r="I6" s="190"/>
      <c r="J6" s="191"/>
    </row>
    <row r="7" spans="2:10" s="20" customFormat="1" ht="9.9" customHeight="1" x14ac:dyDescent="0.35">
      <c r="B7" s="187"/>
      <c r="C7" s="184"/>
      <c r="D7" s="189"/>
      <c r="E7" s="190"/>
      <c r="F7" s="190"/>
      <c r="G7" s="190"/>
      <c r="H7" s="190"/>
      <c r="I7" s="190"/>
      <c r="J7" s="191"/>
    </row>
    <row r="8" spans="2:10" s="20" customFormat="1" ht="9.9" customHeight="1" x14ac:dyDescent="0.35">
      <c r="B8" s="187"/>
      <c r="C8" s="184"/>
      <c r="D8" s="189"/>
      <c r="E8" s="190"/>
      <c r="F8" s="190"/>
      <c r="G8" s="190"/>
      <c r="H8" s="190"/>
      <c r="I8" s="190"/>
      <c r="J8" s="191"/>
    </row>
    <row r="9" spans="2:10" s="20" customFormat="1" ht="9.9" customHeight="1" x14ac:dyDescent="0.35">
      <c r="B9" s="188"/>
      <c r="C9" s="185"/>
      <c r="D9" s="189"/>
      <c r="E9" s="190"/>
      <c r="F9" s="190"/>
      <c r="G9" s="190"/>
      <c r="H9" s="190"/>
      <c r="I9" s="190"/>
      <c r="J9" s="191"/>
    </row>
    <row r="10" spans="2:10" s="20" customFormat="1" ht="8.1" customHeight="1" x14ac:dyDescent="0.35">
      <c r="B10" s="125"/>
      <c r="C10" s="126"/>
      <c r="D10" s="126"/>
      <c r="E10" s="126"/>
      <c r="F10" s="126"/>
      <c r="G10" s="126"/>
      <c r="H10" s="126"/>
      <c r="I10" s="126"/>
      <c r="J10" s="127"/>
    </row>
    <row r="11" spans="2:10" s="45" customFormat="1" ht="42" customHeight="1" x14ac:dyDescent="0.35">
      <c r="B11" s="120" t="s">
        <v>147</v>
      </c>
      <c r="C11" s="120" t="s">
        <v>216</v>
      </c>
      <c r="D11" s="120" t="s">
        <v>217</v>
      </c>
      <c r="E11" s="120" t="s">
        <v>188</v>
      </c>
      <c r="F11" s="132" t="s">
        <v>189</v>
      </c>
      <c r="G11" s="132" t="s">
        <v>190</v>
      </c>
      <c r="H11" s="172" t="s">
        <v>165</v>
      </c>
      <c r="I11" s="172" t="s">
        <v>164</v>
      </c>
      <c r="J11" s="172" t="s">
        <v>218</v>
      </c>
    </row>
    <row r="12" spans="2:10" ht="23.85" customHeight="1" x14ac:dyDescent="0.35">
      <c r="B12" s="121"/>
      <c r="C12" s="121"/>
      <c r="D12" s="121"/>
      <c r="E12" s="121"/>
      <c r="F12" s="121"/>
      <c r="G12" s="121"/>
      <c r="H12" s="121"/>
      <c r="I12" s="121"/>
      <c r="J12" s="121"/>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18" customHeight="1" x14ac:dyDescent="0.3">
      <c r="B14" s="19" t="s">
        <v>13</v>
      </c>
      <c r="C14" s="42" t="str">
        <f>IFERROR(IF(VLOOKUP(B14,PartnerN°Ref,2,FALSE)=0,"",VLOOKUP(B14,PartnerN°Ref,2,FALSE)),"")</f>
        <v>University of Helsinki</v>
      </c>
      <c r="D14" s="42" t="str">
        <f>IFERROR(IF(OR(VLOOKUP(B14,PartnerN°Ref,4,FALSE)="Country not found",VLOOKUP(B14,PartnerN°Ref,3,FALSE)=0),"",VLOOKUP(B14,PartnerN°Ref,3,FALSE)),"")</f>
        <v>Finland</v>
      </c>
      <c r="E14" s="18" t="s">
        <v>384</v>
      </c>
      <c r="F14" s="18" t="s">
        <v>385</v>
      </c>
      <c r="G14" s="18" t="s">
        <v>386</v>
      </c>
      <c r="H14" s="35">
        <v>37500</v>
      </c>
      <c r="I14" s="36">
        <f>IF(J14="Error",0,ROUND(H14,2))</f>
        <v>37500</v>
      </c>
      <c r="J14" s="33" t="str">
        <f>IF(OR(COUNTIF(PartnerN°,B14)=0,C14="",COUNTIF(CountryALL,D14)=0,E14="",F14="",G14="",ISNUMBER(H14)=FALSE,IF(ISNUMBER(H14)=TRUE,H14=INT(H14*100)/100=FALSE)),"Error","")</f>
        <v/>
      </c>
    </row>
    <row r="15" spans="2:10" s="34" customFormat="1" ht="36" x14ac:dyDescent="0.3">
      <c r="B15" s="19" t="s">
        <v>18</v>
      </c>
      <c r="C15" s="42" t="str">
        <f>IFERROR(IF(VLOOKUP(B15,PartnerN°Ref,2,FALSE)=0,"",VLOOKUP(B15,PartnerN°Ref,2,FALSE)),"")</f>
        <v>IMEC</v>
      </c>
      <c r="D15" s="42" t="str">
        <f>IFERROR(IF(OR(VLOOKUP(B15,PartnerN°Ref,4,FALSE)="Country not found",VLOOKUP(B15,PartnerN°Ref,3,FALSE)=0),"",VLOOKUP(B15,PartnerN°Ref,3,FALSE)),"")</f>
        <v>Belgium</v>
      </c>
      <c r="E15" s="18" t="s">
        <v>387</v>
      </c>
      <c r="F15" s="18" t="s">
        <v>388</v>
      </c>
      <c r="G15" s="18" t="s">
        <v>389</v>
      </c>
      <c r="H15" s="35">
        <v>37500</v>
      </c>
      <c r="I15" s="36">
        <f>IF(J15="Error",0,ROUND(H15,2))</f>
        <v>37500</v>
      </c>
      <c r="J15" s="33" t="str">
        <f>IF(OR(COUNTIF(PartnerN°,B15)=0,C15="",COUNTIF(CountryALL,D15)=0,E15="",F15="",G15="",ISNUMBER(H15)=FALSE,IF(ISNUMBER(H15)=TRUE,H15=INT(H15*100)/100=FALSE)),"Error","")</f>
        <v/>
      </c>
    </row>
    <row r="16" spans="2:10" s="34" customFormat="1" x14ac:dyDescent="0.3">
      <c r="B16" s="19" t="s">
        <v>20</v>
      </c>
      <c r="C16" s="42" t="str">
        <f>IFERROR(IF(VLOOKUP(B16,PartnerN°Ref,2,FALSE)=0,"",VLOOKUP(B16,PartnerN°Ref,2,FALSE)),"")</f>
        <v>Uniwersytet Warszawski</v>
      </c>
      <c r="D16" s="42" t="str">
        <f>IFERROR(IF(OR(VLOOKUP(B16,PartnerN°Ref,4,FALSE)="Country not found",VLOOKUP(B16,PartnerN°Ref,3,FALSE)=0),"",VLOOKUP(B16,PartnerN°Ref,3,FALSE)),"")</f>
        <v>Poland</v>
      </c>
      <c r="E16" s="18" t="s">
        <v>387</v>
      </c>
      <c r="F16" s="18" t="s">
        <v>390</v>
      </c>
      <c r="G16" s="18" t="s">
        <v>391</v>
      </c>
      <c r="H16" s="35">
        <v>50000</v>
      </c>
      <c r="I16" s="36">
        <f>IF(J16="Error",0,ROUND(H16,2))</f>
        <v>50000</v>
      </c>
      <c r="J16" s="33" t="str">
        <f>IF(OR(COUNTIF(PartnerN°,B16)=0,C16="",COUNTIF(CountryALL,D16)=0,E16="",F16="",G16="",ISNUMBER(H16)=FALSE,IF(ISNUMBER(H16)=TRUE,H16=INT(H16*100)/100=FALSE)),"Error","")</f>
        <v/>
      </c>
    </row>
    <row r="18" spans="2:2" x14ac:dyDescent="0.35">
      <c r="B18" s="39" t="s">
        <v>219</v>
      </c>
    </row>
    <row r="19" spans="2:2" x14ac:dyDescent="0.35">
      <c r="B19" s="39" t="s">
        <v>220</v>
      </c>
    </row>
    <row r="20" spans="2:2" x14ac:dyDescent="0.35">
      <c r="B20" s="39" t="s">
        <v>221</v>
      </c>
    </row>
  </sheetData>
  <sheetProtection algorithmName="SHA-512" hashValue="vDFX3lZ2fQ7WpRanICtn4lnd2amJWL/lHXbO/2QtdZDtV9cCIF9EhrOsLmZgP4f+uZHNJ5jaVs9hAv9uGW4sxw==" saltValue="waG07WF9RrCRC51gLz+2uQ=="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6">
    <cfRule type="containsText" dxfId="29" priority="150" operator="containsText" text="Error">
      <formula>NOT(ISERROR(SEARCH("Error",J13)))</formula>
    </cfRule>
  </conditionalFormatting>
  <conditionalFormatting sqref="C13:D16">
    <cfRule type="containsBlanks" dxfId="28" priority="143">
      <formula>LEN(TRIM(C13))=0</formula>
    </cfRule>
  </conditionalFormatting>
  <conditionalFormatting sqref="H13">
    <cfRule type="cellIs" dxfId="27" priority="14" operator="lessThanOrEqual">
      <formula>0</formula>
    </cfRule>
  </conditionalFormatting>
  <conditionalFormatting sqref="E13:H13">
    <cfRule type="containsBlanks" dxfId="26" priority="11">
      <formula>LEN(TRIM(E13))=0</formula>
    </cfRule>
  </conditionalFormatting>
  <conditionalFormatting sqref="H14">
    <cfRule type="cellIs" dxfId="25" priority="10" operator="lessThanOrEqual">
      <formula>0</formula>
    </cfRule>
  </conditionalFormatting>
  <conditionalFormatting sqref="E14:H14">
    <cfRule type="containsBlanks" dxfId="24" priority="9">
      <formula>LEN(TRIM(E14))=0</formula>
    </cfRule>
  </conditionalFormatting>
  <conditionalFormatting sqref="B13">
    <cfRule type="containsBlanks" dxfId="23" priority="8">
      <formula>LEN(TRIM(B13))=0</formula>
    </cfRule>
  </conditionalFormatting>
  <conditionalFormatting sqref="B14">
    <cfRule type="containsBlanks" dxfId="22" priority="7">
      <formula>LEN(TRIM(B14))=0</formula>
    </cfRule>
  </conditionalFormatting>
  <conditionalFormatting sqref="H15">
    <cfRule type="cellIs" dxfId="21" priority="6" operator="lessThanOrEqual">
      <formula>0</formula>
    </cfRule>
  </conditionalFormatting>
  <conditionalFormatting sqref="E15:H15">
    <cfRule type="containsBlanks" dxfId="20" priority="5">
      <formula>LEN(TRIM(E15))=0</formula>
    </cfRule>
  </conditionalFormatting>
  <conditionalFormatting sqref="B15">
    <cfRule type="containsBlanks" dxfId="19" priority="4">
      <formula>LEN(TRIM(B15))=0</formula>
    </cfRule>
  </conditionalFormatting>
  <conditionalFormatting sqref="H16">
    <cfRule type="cellIs" dxfId="2" priority="3" operator="lessThanOrEqual">
      <formula>0</formula>
    </cfRule>
  </conditionalFormatting>
  <conditionalFormatting sqref="E16:H16">
    <cfRule type="containsBlanks" dxfId="1" priority="2">
      <formula>LEN(TRIM(E16))=0</formula>
    </cfRule>
  </conditionalFormatting>
  <conditionalFormatting sqref="B16">
    <cfRule type="containsBlanks" dxfId="0" priority="1">
      <formula>LEN(TRIM(B16))=0</formula>
    </cfRule>
  </conditionalFormatting>
  <dataValidations count="5">
    <dataValidation allowBlank="1" showInputMessage="1" showErrorMessage="1" error="Please encode Item" prompt="Please encode Item" sqref="E13:E16" xr:uid="{00000000-0002-0000-0600-000000000000}"/>
    <dataValidation type="custom" allowBlank="1" showInputMessage="1" showErrorMessage="1" error="Format error (2 decimals only)" prompt="Please encode amount (2 decimals only)" sqref="H13:H16" xr:uid="{00000000-0002-0000-0600-000001000000}">
      <formula1>H13=INT(H13*100)/100</formula1>
    </dataValidation>
    <dataValidation allowBlank="1" showInputMessage="1" showErrorMessage="1" error="Please encode Justification" prompt="Please encode Justification" sqref="G13:G16" xr:uid="{00000000-0002-0000-0600-000002000000}"/>
    <dataValidation allowBlank="1" showInputMessage="1" showErrorMessage="1" error="Please encode Source of Co-financing" prompt="Please encode Source of Co-financing" sqref="F13:F16" xr:uid="{00000000-0002-0000-0600-000003000000}"/>
    <dataValidation type="list" allowBlank="1" showInputMessage="1" showErrorMessage="1" error="Click arrow to select Partner n°" prompt="Click arrow to select Partner n°" sqref="B13:B16"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opLeftCell="A14"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71"/>
      <c r="C1" s="171"/>
      <c r="D1" s="171"/>
      <c r="E1" s="171"/>
      <c r="F1" s="171"/>
      <c r="G1" s="171"/>
      <c r="H1" s="171"/>
      <c r="I1" s="171"/>
    </row>
    <row r="2" spans="2:9" s="20" customFormat="1" ht="30" customHeight="1" x14ac:dyDescent="0.35">
      <c r="B2" s="131" t="s">
        <v>178</v>
      </c>
      <c r="C2" s="131"/>
      <c r="D2" s="131"/>
      <c r="E2" s="131"/>
      <c r="F2" s="131"/>
      <c r="G2" s="131"/>
      <c r="H2" s="131"/>
      <c r="I2" s="131"/>
    </row>
    <row r="3" spans="2:9" s="20" customFormat="1" ht="8.1" customHeight="1" x14ac:dyDescent="0.35">
      <c r="B3" s="199"/>
      <c r="C3" s="199"/>
      <c r="D3" s="199"/>
      <c r="E3" s="199"/>
      <c r="F3" s="199"/>
      <c r="G3" s="199"/>
      <c r="H3" s="199"/>
      <c r="I3" s="199"/>
    </row>
    <row r="4" spans="2:9" s="45" customFormat="1" ht="42" customHeight="1" x14ac:dyDescent="0.35">
      <c r="B4" s="44" t="s">
        <v>162</v>
      </c>
      <c r="C4" s="12" t="s">
        <v>191</v>
      </c>
      <c r="D4" s="12" t="s">
        <v>192</v>
      </c>
      <c r="E4" s="12" t="s">
        <v>200</v>
      </c>
      <c r="F4" s="12" t="s">
        <v>201</v>
      </c>
      <c r="G4" s="12" t="s">
        <v>202</v>
      </c>
      <c r="H4" s="12" t="s">
        <v>340</v>
      </c>
      <c r="I4" s="12" t="s">
        <v>164</v>
      </c>
    </row>
    <row r="5" spans="2:9" x14ac:dyDescent="0.35">
      <c r="B5" s="76" t="str">
        <f>'Unit Costs &amp; Funding Rule'!P10</f>
        <v>Preparation</v>
      </c>
      <c r="C5" s="21">
        <f>SUMIF('1. Staff costs'!B:B,B5,'1. Staff costs'!S:S)</f>
        <v>18851</v>
      </c>
      <c r="D5" s="21">
        <f>SUMIF(' 2-3-6. Travel&amp;Costs of Stay'!B:B,B5,' 2-3-6. Travel&amp;Costs of Stay'!O:O)</f>
        <v>0</v>
      </c>
      <c r="E5" s="22">
        <f>SUMIF(' 2-3-6. Travel&amp;Costs of Stay'!B:B,B5,' 2-3-6. Travel&amp;Costs of Stay'!P:P)</f>
        <v>0</v>
      </c>
      <c r="F5" s="22">
        <f>SUMIF('4. Equipment Costs'!B:B,B5,'4. Equipment Costs'!H:H)</f>
        <v>140000</v>
      </c>
      <c r="G5" s="22">
        <f>SUMIF('5. Subcontracting Costs'!B:B,B5,'5. Subcontracting Costs'!H:H)</f>
        <v>0</v>
      </c>
      <c r="H5" s="22">
        <f>SUMIF(' 2-3-6. Travel&amp;Costs of Stay'!B:B,B5,' 2-3-6. Travel&amp;Costs of Stay'!N:N)</f>
        <v>0</v>
      </c>
      <c r="I5" s="23">
        <f t="shared" ref="I5:I10" si="0">SUM(C5:H5)</f>
        <v>158851</v>
      </c>
    </row>
    <row r="6" spans="2:9" ht="16.5" customHeight="1" x14ac:dyDescent="0.35">
      <c r="B6" s="76" t="str">
        <f>'Unit Costs &amp; Funding Rule'!P11</f>
        <v>Development</v>
      </c>
      <c r="C6" s="21">
        <f>SUMIF('1. Staff costs'!B:B,B6,'1. Staff costs'!S:S)</f>
        <v>61472</v>
      </c>
      <c r="D6" s="21">
        <f>SUMIF(' 2-3-6. Travel&amp;Costs of Stay'!B:B,B6,' 2-3-6. Travel&amp;Costs of Stay'!O:O)</f>
        <v>0</v>
      </c>
      <c r="E6" s="22">
        <f>SUMIF(' 2-3-6. Travel&amp;Costs of Stay'!B:B,B6,' 2-3-6. Travel&amp;Costs of Stay'!P:P)</f>
        <v>660</v>
      </c>
      <c r="F6" s="22">
        <f>SUMIF('4. Equipment Costs'!B:B,B6,'4. Equipment Costs'!H:H)</f>
        <v>70000</v>
      </c>
      <c r="G6" s="22">
        <f>SUMIF('5. Subcontracting Costs'!B:B,B6,'5. Subcontracting Costs'!H:H)</f>
        <v>0</v>
      </c>
      <c r="H6" s="22">
        <f>SUMIF(' 2-3-6. Travel&amp;Costs of Stay'!B:B,B6,' 2-3-6. Travel&amp;Costs of Stay'!N:N)</f>
        <v>2400</v>
      </c>
      <c r="I6" s="23">
        <f t="shared" si="0"/>
        <v>134532</v>
      </c>
    </row>
    <row r="7" spans="2:9" ht="16.5" customHeight="1" x14ac:dyDescent="0.35">
      <c r="B7" s="76" t="str">
        <f>'Unit Costs &amp; Funding Rule'!P12</f>
        <v>Quality Plan</v>
      </c>
      <c r="C7" s="21">
        <f>SUMIF('1. Staff costs'!B:B,B7,'1. Staff costs'!S:S)</f>
        <v>150534</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150534</v>
      </c>
    </row>
    <row r="8" spans="2:9" ht="16.5" customHeight="1" x14ac:dyDescent="0.35">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40000</v>
      </c>
      <c r="H8" s="22">
        <f>SUMIF(' 2-3-6. Travel&amp;Costs of Stay'!B:B,B8,' 2-3-6. Travel&amp;Costs of Stay'!N:N)</f>
        <v>0</v>
      </c>
      <c r="I8" s="23">
        <f t="shared" si="0"/>
        <v>46650</v>
      </c>
    </row>
    <row r="9" spans="2:9" ht="16.5" customHeight="1" x14ac:dyDescent="0.35">
      <c r="B9" s="76" t="str">
        <f>'Unit Costs &amp; Funding Rule'!P14</f>
        <v>Management</v>
      </c>
      <c r="C9" s="21">
        <f>SUMIF('1. Staff costs'!B:B,B9,'1. Staff costs'!S:S)</f>
        <v>51720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19000</v>
      </c>
      <c r="H9" s="22">
        <f>SUMIF(' 2-3-6. Travel&amp;Costs of Stay'!B:B,B9,' 2-3-6. Travel&amp;Costs of Stay'!N:N)</f>
        <v>0</v>
      </c>
      <c r="I9" s="23">
        <f t="shared" si="0"/>
        <v>70720</v>
      </c>
    </row>
    <row r="10" spans="2:9" x14ac:dyDescent="0.35">
      <c r="B10" s="43" t="s">
        <v>1</v>
      </c>
      <c r="C10" s="23">
        <f t="shared" ref="C10:F10" si="1">SUM(C5:C9)</f>
        <v>289227</v>
      </c>
      <c r="D10" s="23">
        <f t="shared" si="1"/>
        <v>0</v>
      </c>
      <c r="E10" s="23">
        <f t="shared" si="1"/>
        <v>660</v>
      </c>
      <c r="F10" s="23">
        <f t="shared" si="1"/>
        <v>210000</v>
      </c>
      <c r="G10" s="23">
        <f>SUM(G5:G9)</f>
        <v>59000</v>
      </c>
      <c r="H10" s="23">
        <f>SUM(H5:H9)</f>
        <v>2400</v>
      </c>
      <c r="I10" s="17">
        <f t="shared" si="0"/>
        <v>561287</v>
      </c>
    </row>
    <row r="11" spans="2:9" ht="20.100000000000001" customHeight="1" x14ac:dyDescent="0.35">
      <c r="B11" s="198"/>
      <c r="C11" s="198"/>
      <c r="D11" s="198"/>
      <c r="E11" s="198"/>
      <c r="F11" s="198"/>
      <c r="G11" s="198"/>
      <c r="H11" s="198"/>
      <c r="I11" s="198"/>
    </row>
    <row r="12" spans="2:9" ht="30" customHeight="1" x14ac:dyDescent="0.35">
      <c r="B12" s="131" t="s">
        <v>203</v>
      </c>
      <c r="C12" s="131"/>
      <c r="D12" s="131"/>
      <c r="E12" s="131"/>
      <c r="F12" s="131"/>
      <c r="G12" s="131"/>
      <c r="H12" s="131"/>
      <c r="I12" s="131"/>
    </row>
    <row r="13" spans="2:9" ht="8.1" customHeight="1" x14ac:dyDescent="0.35">
      <c r="B13" s="196"/>
      <c r="C13" s="196"/>
      <c r="D13" s="196"/>
      <c r="E13" s="196"/>
      <c r="F13" s="196"/>
      <c r="G13" s="196"/>
      <c r="H13" s="196"/>
      <c r="I13" s="196"/>
    </row>
    <row r="14" spans="2:9" ht="36" x14ac:dyDescent="0.35">
      <c r="B14" s="44" t="s">
        <v>177</v>
      </c>
      <c r="C14" s="12" t="s">
        <v>191</v>
      </c>
      <c r="D14" s="12" t="s">
        <v>192</v>
      </c>
      <c r="E14" s="12" t="s">
        <v>200</v>
      </c>
      <c r="F14" s="12" t="s">
        <v>201</v>
      </c>
      <c r="G14" s="12" t="s">
        <v>202</v>
      </c>
      <c r="H14" s="12" t="s">
        <v>340</v>
      </c>
      <c r="I14" s="12" t="s">
        <v>164</v>
      </c>
    </row>
    <row r="15" spans="2:9" x14ac:dyDescent="0.35">
      <c r="B15" s="76" t="s">
        <v>196</v>
      </c>
      <c r="C15" s="21">
        <f>SUMIF(Overview!$E$27:$E$81,B15,Overview!$F$27:$F$81)</f>
        <v>270507</v>
      </c>
      <c r="D15" s="21">
        <f>SUMIF(Overview!$E$27:$E$81,B15,Overview!$G$27:$G$81)</f>
        <v>0</v>
      </c>
      <c r="E15" s="21">
        <f>SUMIF(Overview!$E$27:$E$81,B15,Overview!$H$27:$H$81)</f>
        <v>660</v>
      </c>
      <c r="F15" s="21">
        <f>SUMIF(Overview!$E$27:$E$81,B15,Overview!$I$27:$I$81)</f>
        <v>0</v>
      </c>
      <c r="G15" s="21">
        <f>SUMIF(Overview!$E$27:$E$81,B15,Overview!$J$27:$J$81)</f>
        <v>59000</v>
      </c>
      <c r="H15" s="21">
        <f>SUMIF(Overview!$E$27:$E$81,B15,Overview!$K$27:$K$81)</f>
        <v>2400</v>
      </c>
      <c r="I15" s="23">
        <f>SUM(C15:H15)</f>
        <v>332567</v>
      </c>
    </row>
    <row r="16" spans="2:9" x14ac:dyDescent="0.35">
      <c r="B16" s="76" t="s">
        <v>197</v>
      </c>
      <c r="C16" s="21">
        <f>SUMIF(Overview!$E$27:$E$81,B16,Overview!$F$27:$F$81)</f>
        <v>18720</v>
      </c>
      <c r="D16" s="21">
        <f>SUMIF(Overview!$E$27:$E$81,B16,Overview!$G$27:$G$81)</f>
        <v>0</v>
      </c>
      <c r="E16" s="21">
        <f>SUMIF(Overview!$E$27:$E$81,B16,Overview!$H$27:$H$81)</f>
        <v>0</v>
      </c>
      <c r="F16" s="21">
        <f>SUMIF(Overview!$E$27:$E$81,B16,Overview!$I$27:$I$81)</f>
        <v>210000</v>
      </c>
      <c r="G16" s="21">
        <f>SUMIF(Overview!$E$27:$E$81,B16,Overview!$J$27:$J$81)</f>
        <v>0</v>
      </c>
      <c r="H16" s="21">
        <f>SUMIF(Overview!$E$27:$E$81,B16,Overview!$K$27:$K$81)</f>
        <v>0</v>
      </c>
      <c r="I16" s="23">
        <f>SUM(C16:H16)</f>
        <v>228720</v>
      </c>
    </row>
    <row r="17" spans="2:9" x14ac:dyDescent="0.35">
      <c r="B17" s="43" t="s">
        <v>1</v>
      </c>
      <c r="C17" s="23">
        <f t="shared" ref="C17:F17" si="2">SUM(C15:C16)</f>
        <v>289227</v>
      </c>
      <c r="D17" s="23">
        <f t="shared" si="2"/>
        <v>0</v>
      </c>
      <c r="E17" s="23">
        <f t="shared" si="2"/>
        <v>660</v>
      </c>
      <c r="F17" s="23">
        <f t="shared" si="2"/>
        <v>210000</v>
      </c>
      <c r="G17" s="23">
        <f>SUM(G15:G16)</f>
        <v>59000</v>
      </c>
      <c r="H17" s="23">
        <f>SUM(H15:H16)</f>
        <v>2400</v>
      </c>
      <c r="I17" s="17">
        <f>SUM(C17:H17)</f>
        <v>561287</v>
      </c>
    </row>
    <row r="18" spans="2:9" ht="20.100000000000001" customHeight="1" x14ac:dyDescent="0.35">
      <c r="B18" s="197"/>
      <c r="C18" s="197"/>
      <c r="D18" s="197"/>
      <c r="E18" s="197"/>
      <c r="F18" s="197"/>
      <c r="G18" s="197"/>
      <c r="H18" s="197"/>
      <c r="I18" s="197"/>
    </row>
    <row r="19" spans="2:9" ht="30" customHeight="1" x14ac:dyDescent="0.35">
      <c r="B19" s="131" t="s">
        <v>205</v>
      </c>
      <c r="C19" s="131"/>
      <c r="D19" s="131"/>
      <c r="E19" s="131"/>
      <c r="F19" s="131"/>
      <c r="G19" s="131"/>
      <c r="H19" s="131"/>
      <c r="I19" s="131"/>
    </row>
    <row r="20" spans="2:9" ht="8.1" customHeight="1" x14ac:dyDescent="0.35">
      <c r="B20" s="196"/>
      <c r="C20" s="196"/>
      <c r="D20" s="196"/>
      <c r="E20" s="196"/>
      <c r="F20" s="196"/>
      <c r="G20" s="196"/>
      <c r="H20" s="196"/>
      <c r="I20" s="196"/>
    </row>
    <row r="21" spans="2:9" ht="54" customHeight="1" x14ac:dyDescent="0.3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4" t="s">
        <v>164</v>
      </c>
      <c r="I21" s="195"/>
    </row>
    <row r="22" spans="2:9" x14ac:dyDescent="0.3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4410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21100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192">
        <f t="shared" ref="H22:H34" si="3">SUM(C22:G22)</f>
        <v>25510</v>
      </c>
      <c r="I22" s="193"/>
    </row>
    <row r="23" spans="2:9" x14ac:dyDescent="0.3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708</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192">
        <f t="shared" si="3"/>
        <v>708</v>
      </c>
      <c r="I23" s="193"/>
    </row>
    <row r="24" spans="2:9" x14ac:dyDescent="0.3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3294</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192">
        <f t="shared" si="3"/>
        <v>3294</v>
      </c>
      <c r="I24" s="193"/>
    </row>
    <row r="25" spans="2:9" x14ac:dyDescent="0.3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708</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25550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2">
        <f t="shared" si="3"/>
        <v>26258</v>
      </c>
      <c r="I25" s="193"/>
    </row>
    <row r="26" spans="2:9" x14ac:dyDescent="0.3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7881</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21802</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5280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1760</v>
      </c>
      <c r="H26" s="192">
        <f t="shared" si="3"/>
        <v>36723</v>
      </c>
      <c r="I26" s="193"/>
    </row>
    <row r="27" spans="2:9" x14ac:dyDescent="0.3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1310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24772</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16800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5600</v>
      </c>
      <c r="H27" s="192">
        <f t="shared" si="3"/>
        <v>48482</v>
      </c>
      <c r="I27" s="193"/>
    </row>
    <row r="28" spans="2:9" x14ac:dyDescent="0.3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1570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942</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30654</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30760</v>
      </c>
      <c r="H28" s="192">
        <f t="shared" si="3"/>
        <v>63926</v>
      </c>
      <c r="I28" s="193"/>
    </row>
    <row r="29" spans="2:9" x14ac:dyDescent="0.3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780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9840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3280</v>
      </c>
      <c r="H29" s="192">
        <f t="shared" si="3"/>
        <v>13900</v>
      </c>
      <c r="I29" s="193"/>
    </row>
    <row r="30" spans="2:9" x14ac:dyDescent="0.3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1570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942</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17640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5880</v>
      </c>
      <c r="H30" s="192">
        <f t="shared" si="3"/>
        <v>26032</v>
      </c>
      <c r="I30" s="193"/>
    </row>
    <row r="31" spans="2:9" x14ac:dyDescent="0.3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1570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942</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17640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5880</v>
      </c>
      <c r="H31" s="192">
        <f t="shared" si="3"/>
        <v>26032</v>
      </c>
      <c r="I31" s="193"/>
    </row>
    <row r="32" spans="2:9" x14ac:dyDescent="0.3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1310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2910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16800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5600</v>
      </c>
      <c r="H32" s="192">
        <f t="shared" si="3"/>
        <v>26620</v>
      </c>
      <c r="I32" s="193"/>
    </row>
    <row r="33" spans="2:9" x14ac:dyDescent="0.3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450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270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6480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2160</v>
      </c>
      <c r="H33" s="192">
        <f t="shared" si="3"/>
        <v>9360</v>
      </c>
      <c r="I33" s="193"/>
    </row>
    <row r="34" spans="2:9" x14ac:dyDescent="0.3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1570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2328</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17640</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5880</v>
      </c>
      <c r="H34" s="192">
        <f t="shared" si="3"/>
        <v>27418</v>
      </c>
      <c r="I34" s="193"/>
    </row>
    <row r="35" spans="2:9" x14ac:dyDescent="0.3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390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234</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5280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1760</v>
      </c>
      <c r="H35" s="192">
        <f t="shared" ref="H35:H76" si="4">SUM(C35:G35)</f>
        <v>7664</v>
      </c>
      <c r="I35" s="193"/>
    </row>
    <row r="36" spans="2:9" x14ac:dyDescent="0.3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140450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70270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6480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2160</v>
      </c>
      <c r="H36" s="192">
        <f t="shared" si="4"/>
        <v>219360</v>
      </c>
      <c r="I36" s="193"/>
    </row>
    <row r="37" spans="2:9" x14ac:dyDescent="0.3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2">
        <f t="shared" si="4"/>
        <v>0</v>
      </c>
      <c r="I37" s="193"/>
    </row>
    <row r="38" spans="2:9" x14ac:dyDescent="0.3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2">
        <f t="shared" si="4"/>
        <v>0</v>
      </c>
      <c r="I38" s="193"/>
    </row>
    <row r="39" spans="2:9" x14ac:dyDescent="0.3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2">
        <f t="shared" si="4"/>
        <v>0</v>
      </c>
      <c r="I39" s="193"/>
    </row>
    <row r="40" spans="2:9" x14ac:dyDescent="0.3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2">
        <f t="shared" si="4"/>
        <v>0</v>
      </c>
      <c r="I40" s="193"/>
    </row>
    <row r="41" spans="2:9" x14ac:dyDescent="0.3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2">
        <f t="shared" si="4"/>
        <v>0</v>
      </c>
      <c r="I41" s="193"/>
    </row>
    <row r="42" spans="2:9" x14ac:dyDescent="0.3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2">
        <f t="shared" si="4"/>
        <v>0</v>
      </c>
      <c r="I42" s="193"/>
    </row>
    <row r="43" spans="2:9" x14ac:dyDescent="0.3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2">
        <f t="shared" si="4"/>
        <v>0</v>
      </c>
      <c r="I43" s="193"/>
    </row>
    <row r="44" spans="2:9" x14ac:dyDescent="0.3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2">
        <f t="shared" si="4"/>
        <v>0</v>
      </c>
      <c r="I44" s="193"/>
    </row>
    <row r="45" spans="2:9" x14ac:dyDescent="0.3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2">
        <f t="shared" si="4"/>
        <v>0</v>
      </c>
      <c r="I45" s="193"/>
    </row>
    <row r="46" spans="2:9" x14ac:dyDescent="0.3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2">
        <f t="shared" si="4"/>
        <v>0</v>
      </c>
      <c r="I46" s="193"/>
    </row>
    <row r="47" spans="2:9" x14ac:dyDescent="0.3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2">
        <f t="shared" si="4"/>
        <v>0</v>
      </c>
      <c r="I47" s="193"/>
    </row>
    <row r="48" spans="2:9" x14ac:dyDescent="0.3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2">
        <f t="shared" si="4"/>
        <v>0</v>
      </c>
      <c r="I48" s="193"/>
    </row>
    <row r="49" spans="2:9" x14ac:dyDescent="0.3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2">
        <f t="shared" si="4"/>
        <v>0</v>
      </c>
      <c r="I49" s="193"/>
    </row>
    <row r="50" spans="2:9" x14ac:dyDescent="0.3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2">
        <f t="shared" si="4"/>
        <v>0</v>
      </c>
      <c r="I50" s="193"/>
    </row>
    <row r="51" spans="2:9" x14ac:dyDescent="0.3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2">
        <f t="shared" si="4"/>
        <v>0</v>
      </c>
      <c r="I51" s="193"/>
    </row>
    <row r="52" spans="2:9" x14ac:dyDescent="0.3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2">
        <f t="shared" si="4"/>
        <v>0</v>
      </c>
      <c r="I52" s="193"/>
    </row>
    <row r="53" spans="2:9" x14ac:dyDescent="0.3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2">
        <f t="shared" si="4"/>
        <v>0</v>
      </c>
      <c r="I53" s="193"/>
    </row>
    <row r="54" spans="2:9" x14ac:dyDescent="0.3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2">
        <f t="shared" si="4"/>
        <v>0</v>
      </c>
      <c r="I54" s="193"/>
    </row>
    <row r="55" spans="2:9" x14ac:dyDescent="0.3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2">
        <f t="shared" si="4"/>
        <v>0</v>
      </c>
      <c r="I55" s="193"/>
    </row>
    <row r="56" spans="2:9" x14ac:dyDescent="0.3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2">
        <f t="shared" si="4"/>
        <v>0</v>
      </c>
      <c r="I56" s="193"/>
    </row>
    <row r="57" spans="2:9" x14ac:dyDescent="0.3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2">
        <f t="shared" si="4"/>
        <v>0</v>
      </c>
      <c r="I57" s="193"/>
    </row>
    <row r="58" spans="2:9" x14ac:dyDescent="0.3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2">
        <f t="shared" si="4"/>
        <v>0</v>
      </c>
      <c r="I58" s="193"/>
    </row>
    <row r="59" spans="2:9" x14ac:dyDescent="0.3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2">
        <f t="shared" si="4"/>
        <v>0</v>
      </c>
      <c r="I59" s="193"/>
    </row>
    <row r="60" spans="2:9" x14ac:dyDescent="0.3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2">
        <f t="shared" si="4"/>
        <v>0</v>
      </c>
      <c r="I60" s="193"/>
    </row>
    <row r="61" spans="2:9" x14ac:dyDescent="0.3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2">
        <f t="shared" si="4"/>
        <v>0</v>
      </c>
      <c r="I61" s="193"/>
    </row>
    <row r="62" spans="2:9" x14ac:dyDescent="0.3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2">
        <f t="shared" si="4"/>
        <v>0</v>
      </c>
      <c r="I62" s="193"/>
    </row>
    <row r="63" spans="2:9" x14ac:dyDescent="0.3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2">
        <f t="shared" si="4"/>
        <v>0</v>
      </c>
      <c r="I63" s="193"/>
    </row>
    <row r="64" spans="2:9" x14ac:dyDescent="0.3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2">
        <f t="shared" si="4"/>
        <v>0</v>
      </c>
      <c r="I64" s="193"/>
    </row>
    <row r="65" spans="2:9" x14ac:dyDescent="0.3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2">
        <f t="shared" si="4"/>
        <v>0</v>
      </c>
      <c r="I65" s="193"/>
    </row>
    <row r="66" spans="2:9" x14ac:dyDescent="0.3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2">
        <f t="shared" si="4"/>
        <v>0</v>
      </c>
      <c r="I66" s="193"/>
    </row>
    <row r="67" spans="2:9" x14ac:dyDescent="0.3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2">
        <f t="shared" si="4"/>
        <v>0</v>
      </c>
      <c r="I67" s="193"/>
    </row>
    <row r="68" spans="2:9" x14ac:dyDescent="0.3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2">
        <f t="shared" si="4"/>
        <v>0</v>
      </c>
      <c r="I68" s="193"/>
    </row>
    <row r="69" spans="2:9" x14ac:dyDescent="0.3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2">
        <f t="shared" si="4"/>
        <v>0</v>
      </c>
      <c r="I69" s="193"/>
    </row>
    <row r="70" spans="2:9" x14ac:dyDescent="0.3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2">
        <f t="shared" si="4"/>
        <v>0</v>
      </c>
      <c r="I70" s="193"/>
    </row>
    <row r="71" spans="2:9" x14ac:dyDescent="0.3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2">
        <f t="shared" si="4"/>
        <v>0</v>
      </c>
      <c r="I71" s="193"/>
    </row>
    <row r="72" spans="2:9" x14ac:dyDescent="0.3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2">
        <f t="shared" si="4"/>
        <v>0</v>
      </c>
      <c r="I72" s="193"/>
    </row>
    <row r="73" spans="2:9" x14ac:dyDescent="0.3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2">
        <f t="shared" si="4"/>
        <v>0</v>
      </c>
      <c r="I73" s="193"/>
    </row>
    <row r="74" spans="2:9" x14ac:dyDescent="0.3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2">
        <f t="shared" si="4"/>
        <v>0</v>
      </c>
      <c r="I74" s="193"/>
    </row>
    <row r="75" spans="2:9" x14ac:dyDescent="0.3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2">
        <f t="shared" si="4"/>
        <v>0</v>
      </c>
      <c r="I75" s="193"/>
    </row>
    <row r="76" spans="2:9" x14ac:dyDescent="0.3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2">
        <f t="shared" si="4"/>
        <v>0</v>
      </c>
      <c r="I76" s="193"/>
    </row>
    <row r="77" spans="2:9" x14ac:dyDescent="0.35">
      <c r="B77" s="48" t="s">
        <v>1</v>
      </c>
      <c r="C77" s="23">
        <f>SUM(C22:C76)</f>
        <v>158851</v>
      </c>
      <c r="D77" s="23">
        <f t="shared" ref="D77:G77" si="5">SUM(D22:D76)</f>
        <v>134532</v>
      </c>
      <c r="E77" s="23">
        <f t="shared" si="5"/>
        <v>150534</v>
      </c>
      <c r="F77" s="23">
        <f t="shared" si="5"/>
        <v>46650</v>
      </c>
      <c r="G77" s="23">
        <f t="shared" si="5"/>
        <v>70720</v>
      </c>
      <c r="H77" s="192">
        <f>SUM(C77:G77)</f>
        <v>561287</v>
      </c>
      <c r="I77" s="193"/>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8" priority="139" stopIfTrue="1" operator="equal">
      <formula>"&gt; 30 %"</formula>
    </cfRule>
  </conditionalFormatting>
  <conditionalFormatting sqref="C4:E4 D14:E14">
    <cfRule type="cellIs" dxfId="17" priority="52" stopIfTrue="1" operator="equal">
      <formula>"ERROR"</formula>
    </cfRule>
  </conditionalFormatting>
  <conditionalFormatting sqref="F4">
    <cfRule type="cellIs" dxfId="16" priority="50" stopIfTrue="1" operator="equal">
      <formula>"ERROR"</formula>
    </cfRule>
  </conditionalFormatting>
  <conditionalFormatting sqref="G4">
    <cfRule type="cellIs" dxfId="15" priority="49" stopIfTrue="1" operator="equal">
      <formula>"ERROR"</formula>
    </cfRule>
  </conditionalFormatting>
  <conditionalFormatting sqref="I4">
    <cfRule type="cellIs" dxfId="14" priority="48" stopIfTrue="1" operator="equal">
      <formula>"ERROR"</formula>
    </cfRule>
  </conditionalFormatting>
  <conditionalFormatting sqref="B12">
    <cfRule type="cellIs" dxfId="13" priority="33" stopIfTrue="1" operator="equal">
      <formula>"&gt; 30 %"</formula>
    </cfRule>
  </conditionalFormatting>
  <conditionalFormatting sqref="B10">
    <cfRule type="cellIs" dxfId="12" priority="29" stopIfTrue="1" operator="equal">
      <formula>"ERROR"</formula>
    </cfRule>
  </conditionalFormatting>
  <conditionalFormatting sqref="B17">
    <cfRule type="cellIs" dxfId="11" priority="28" stopIfTrue="1" operator="equal">
      <formula>"ERROR"</formula>
    </cfRule>
  </conditionalFormatting>
  <conditionalFormatting sqref="C14">
    <cfRule type="cellIs" dxfId="10" priority="19" stopIfTrue="1" operator="equal">
      <formula>"ERROR"</formula>
    </cfRule>
  </conditionalFormatting>
  <conditionalFormatting sqref="F14">
    <cfRule type="cellIs" dxfId="9" priority="17" stopIfTrue="1" operator="equal">
      <formula>"ERROR"</formula>
    </cfRule>
  </conditionalFormatting>
  <conditionalFormatting sqref="G14">
    <cfRule type="cellIs" dxfId="8" priority="16" stopIfTrue="1" operator="equal">
      <formula>"ERROR"</formula>
    </cfRule>
  </conditionalFormatting>
  <conditionalFormatting sqref="B19">
    <cfRule type="cellIs" dxfId="7" priority="14" stopIfTrue="1" operator="equal">
      <formula>"&gt; 30 %"</formula>
    </cfRule>
  </conditionalFormatting>
  <conditionalFormatting sqref="H21">
    <cfRule type="cellIs" dxfId="6" priority="11" stopIfTrue="1" operator="equal">
      <formula>"ERROR"</formula>
    </cfRule>
  </conditionalFormatting>
  <conditionalFormatting sqref="H4">
    <cfRule type="cellIs" dxfId="5" priority="3" stopIfTrue="1" operator="equal">
      <formula>"ERROR"</formula>
    </cfRule>
  </conditionalFormatting>
  <conditionalFormatting sqref="H14">
    <cfRule type="cellIs" dxfId="4" priority="2" stopIfTrue="1" operator="equal">
      <formula>"ERROR"</formula>
    </cfRule>
  </conditionalFormatting>
  <conditionalFormatting sqref="I14">
    <cfRule type="cellIs" dxfId="3"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00" t="s">
        <v>359</v>
      </c>
      <c r="C1" s="201"/>
      <c r="D1" s="201"/>
      <c r="E1" s="201"/>
      <c r="F1" s="201"/>
      <c r="G1" s="201"/>
      <c r="H1" s="201"/>
      <c r="I1" s="201"/>
      <c r="J1" s="201"/>
      <c r="K1" s="201"/>
      <c r="L1" s="201"/>
      <c r="M1" s="201"/>
      <c r="N1" s="201"/>
      <c r="O1" s="201"/>
      <c r="P1" s="201"/>
      <c r="Q1" s="201"/>
      <c r="R1" s="201"/>
      <c r="S1" s="201"/>
      <c r="T1" s="201"/>
      <c r="U1" s="201"/>
    </row>
    <row r="2" spans="2:21" ht="33" customHeight="1" x14ac:dyDescent="0.25">
      <c r="B2" s="54" t="s">
        <v>348</v>
      </c>
      <c r="C2" s="98" t="s">
        <v>357</v>
      </c>
      <c r="D2" s="97"/>
      <c r="E2" s="97"/>
      <c r="F2" s="97"/>
      <c r="G2" s="97"/>
      <c r="H2" s="97"/>
      <c r="I2" s="97"/>
      <c r="J2" s="97"/>
      <c r="K2" s="55"/>
      <c r="L2" s="55"/>
      <c r="M2" s="55"/>
      <c r="N2" s="55"/>
      <c r="O2" s="55"/>
      <c r="P2" s="55"/>
      <c r="Q2" s="55"/>
      <c r="R2" s="55"/>
      <c r="S2" s="55"/>
      <c r="T2" s="55"/>
      <c r="U2" s="55"/>
    </row>
    <row r="3" spans="2:21" ht="33" customHeight="1" x14ac:dyDescent="0.25">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3">
      <c r="B4" s="202" t="s">
        <v>225</v>
      </c>
      <c r="C4" s="202"/>
      <c r="D4" s="202"/>
      <c r="E4" s="202"/>
      <c r="F4" s="202"/>
      <c r="G4" s="202"/>
      <c r="I4" s="202" t="s">
        <v>226</v>
      </c>
      <c r="J4" s="202"/>
      <c r="L4" s="202" t="s">
        <v>227</v>
      </c>
      <c r="M4" s="202"/>
      <c r="N4" s="202"/>
      <c r="P4" s="202" t="s">
        <v>228</v>
      </c>
      <c r="Q4" s="202"/>
      <c r="S4" s="202" t="s">
        <v>229</v>
      </c>
      <c r="T4" s="202"/>
      <c r="U4" s="202"/>
    </row>
    <row r="5" spans="2:21" s="58" customFormat="1" ht="157.5" customHeight="1" x14ac:dyDescent="0.3">
      <c r="B5" s="206" t="s">
        <v>334</v>
      </c>
      <c r="C5" s="207"/>
      <c r="D5" s="207"/>
      <c r="E5" s="207"/>
      <c r="F5" s="207"/>
      <c r="G5" s="208"/>
      <c r="I5" s="206" t="s">
        <v>315</v>
      </c>
      <c r="J5" s="208"/>
      <c r="L5" s="206" t="s">
        <v>335</v>
      </c>
      <c r="M5" s="207"/>
      <c r="N5" s="208"/>
      <c r="P5" s="206" t="s">
        <v>312</v>
      </c>
      <c r="Q5" s="208"/>
      <c r="S5" s="206" t="s">
        <v>316</v>
      </c>
      <c r="T5" s="207"/>
      <c r="U5" s="208"/>
    </row>
    <row r="6" spans="2:21" s="59" customFormat="1" ht="80.25" customHeight="1" x14ac:dyDescent="0.3">
      <c r="B6" s="209"/>
      <c r="C6" s="210"/>
      <c r="D6" s="210"/>
      <c r="E6" s="210"/>
      <c r="F6" s="210"/>
      <c r="G6" s="211"/>
      <c r="I6" s="209"/>
      <c r="J6" s="211"/>
      <c r="L6" s="209"/>
      <c r="M6" s="210"/>
      <c r="N6" s="211"/>
      <c r="P6" s="209"/>
      <c r="Q6" s="211"/>
      <c r="S6" s="209"/>
      <c r="T6" s="210"/>
      <c r="U6" s="211"/>
    </row>
    <row r="7" spans="2:21" ht="82.5" customHeight="1" x14ac:dyDescent="0.25">
      <c r="B7" s="60" t="s">
        <v>0</v>
      </c>
      <c r="C7" s="60" t="s">
        <v>176</v>
      </c>
      <c r="D7" s="60" t="s">
        <v>131</v>
      </c>
      <c r="E7" s="61" t="s">
        <v>129</v>
      </c>
      <c r="F7" s="61" t="s">
        <v>314</v>
      </c>
      <c r="G7" s="61" t="s">
        <v>313</v>
      </c>
      <c r="I7" s="61" t="s">
        <v>27</v>
      </c>
      <c r="J7" s="61" t="s">
        <v>171</v>
      </c>
      <c r="L7" s="61" t="s">
        <v>215</v>
      </c>
      <c r="M7" s="61" t="s">
        <v>210</v>
      </c>
      <c r="N7" s="61" t="s">
        <v>208</v>
      </c>
      <c r="P7" s="203" t="s">
        <v>328</v>
      </c>
      <c r="Q7" s="204"/>
      <c r="S7" s="203" t="s">
        <v>329</v>
      </c>
      <c r="T7" s="205"/>
      <c r="U7" s="204"/>
    </row>
    <row r="8" spans="2:21" ht="15" customHeight="1" x14ac:dyDescent="0.25">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25">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25">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25">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25">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25">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25">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25">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25">
      <c r="B16" s="62" t="s">
        <v>34</v>
      </c>
      <c r="C16" s="62" t="s">
        <v>196</v>
      </c>
      <c r="D16" s="63">
        <v>280</v>
      </c>
      <c r="E16" s="63">
        <v>214</v>
      </c>
      <c r="F16" s="63">
        <v>162</v>
      </c>
      <c r="G16" s="63">
        <v>131</v>
      </c>
      <c r="J16" s="66"/>
      <c r="L16" s="65">
        <v>9</v>
      </c>
      <c r="M16" s="63">
        <f t="shared" si="0"/>
        <v>495</v>
      </c>
      <c r="N16" s="63">
        <f t="shared" si="1"/>
        <v>1080</v>
      </c>
      <c r="P16" s="67" t="s">
        <v>206</v>
      </c>
    </row>
    <row r="17" spans="2:16" x14ac:dyDescent="0.25">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25">
      <c r="B18" s="62" t="s">
        <v>35</v>
      </c>
      <c r="C18" s="62" t="s">
        <v>196</v>
      </c>
      <c r="D18" s="63">
        <v>280</v>
      </c>
      <c r="E18" s="63">
        <v>214</v>
      </c>
      <c r="F18" s="63">
        <v>162</v>
      </c>
      <c r="G18" s="63">
        <v>131</v>
      </c>
      <c r="L18" s="65">
        <v>11</v>
      </c>
      <c r="M18" s="63">
        <f t="shared" si="0"/>
        <v>605</v>
      </c>
      <c r="N18" s="63">
        <f t="shared" si="1"/>
        <v>1320</v>
      </c>
      <c r="P18" s="69" t="s">
        <v>210</v>
      </c>
    </row>
    <row r="19" spans="2:16" x14ac:dyDescent="0.25">
      <c r="B19" s="62" t="s">
        <v>36</v>
      </c>
      <c r="C19" s="62" t="s">
        <v>196</v>
      </c>
      <c r="D19" s="63">
        <v>280</v>
      </c>
      <c r="E19" s="63">
        <v>214</v>
      </c>
      <c r="F19" s="63">
        <v>162</v>
      </c>
      <c r="G19" s="63">
        <v>131</v>
      </c>
      <c r="L19" s="65">
        <v>12</v>
      </c>
      <c r="M19" s="63">
        <f t="shared" si="0"/>
        <v>660</v>
      </c>
      <c r="N19" s="63">
        <f t="shared" si="1"/>
        <v>1440</v>
      </c>
    </row>
    <row r="20" spans="2:16" ht="18" x14ac:dyDescent="0.25">
      <c r="B20" s="62" t="s">
        <v>41</v>
      </c>
      <c r="C20" s="62" t="s">
        <v>196</v>
      </c>
      <c r="D20" s="63">
        <v>164</v>
      </c>
      <c r="E20" s="63">
        <v>137</v>
      </c>
      <c r="F20" s="63">
        <v>102</v>
      </c>
      <c r="G20" s="63">
        <v>78</v>
      </c>
      <c r="L20" s="65">
        <v>13</v>
      </c>
      <c r="M20" s="63">
        <f t="shared" si="0"/>
        <v>715</v>
      </c>
      <c r="N20" s="63">
        <f t="shared" si="1"/>
        <v>1560</v>
      </c>
      <c r="P20" s="67" t="s">
        <v>346</v>
      </c>
    </row>
    <row r="21" spans="2:16" x14ac:dyDescent="0.25">
      <c r="B21" s="62" t="s">
        <v>48</v>
      </c>
      <c r="C21" s="62" t="s">
        <v>196</v>
      </c>
      <c r="D21" s="63">
        <v>88</v>
      </c>
      <c r="E21" s="63">
        <v>74</v>
      </c>
      <c r="F21" s="63">
        <v>55</v>
      </c>
      <c r="G21" s="63">
        <v>39</v>
      </c>
      <c r="L21" s="65">
        <v>14</v>
      </c>
      <c r="M21" s="63">
        <f t="shared" si="0"/>
        <v>770</v>
      </c>
      <c r="N21" s="63">
        <f t="shared" si="1"/>
        <v>1680</v>
      </c>
      <c r="P21" s="69" t="s">
        <v>347</v>
      </c>
    </row>
    <row r="22" spans="2:16" x14ac:dyDescent="0.25">
      <c r="B22" s="62" t="s">
        <v>37</v>
      </c>
      <c r="C22" s="62" t="s">
        <v>196</v>
      </c>
      <c r="D22" s="63">
        <v>280</v>
      </c>
      <c r="E22" s="63">
        <v>214</v>
      </c>
      <c r="F22" s="63">
        <v>162</v>
      </c>
      <c r="G22" s="63">
        <v>131</v>
      </c>
      <c r="L22" s="65">
        <v>15</v>
      </c>
      <c r="M22" s="70">
        <f>((L22-$L$21)*40)+770</f>
        <v>810</v>
      </c>
      <c r="N22" s="71">
        <f>((L22-$L$21)*70)+1680</f>
        <v>1750</v>
      </c>
      <c r="P22" s="89"/>
    </row>
    <row r="23" spans="2:16" x14ac:dyDescent="0.25">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25">
      <c r="B24" s="62" t="s">
        <v>38</v>
      </c>
      <c r="C24" s="62" t="s">
        <v>196</v>
      </c>
      <c r="D24" s="63">
        <v>280</v>
      </c>
      <c r="E24" s="63">
        <v>214</v>
      </c>
      <c r="F24" s="63">
        <v>162</v>
      </c>
      <c r="G24" s="63">
        <v>131</v>
      </c>
      <c r="L24" s="65">
        <v>17</v>
      </c>
      <c r="M24" s="70">
        <f t="shared" si="2"/>
        <v>890</v>
      </c>
      <c r="N24" s="71">
        <f t="shared" si="3"/>
        <v>1890</v>
      </c>
    </row>
    <row r="25" spans="2:16" x14ac:dyDescent="0.25">
      <c r="B25" s="62" t="s">
        <v>49</v>
      </c>
      <c r="C25" s="62" t="s">
        <v>196</v>
      </c>
      <c r="D25" s="63">
        <v>88</v>
      </c>
      <c r="E25" s="63">
        <v>74</v>
      </c>
      <c r="F25" s="63">
        <v>55</v>
      </c>
      <c r="G25" s="63">
        <v>39</v>
      </c>
      <c r="L25" s="65">
        <v>18</v>
      </c>
      <c r="M25" s="70">
        <f t="shared" si="2"/>
        <v>930</v>
      </c>
      <c r="N25" s="71">
        <f t="shared" si="3"/>
        <v>1960</v>
      </c>
    </row>
    <row r="26" spans="2:16" x14ac:dyDescent="0.25">
      <c r="B26" s="62" t="s">
        <v>30</v>
      </c>
      <c r="C26" s="62" t="s">
        <v>196</v>
      </c>
      <c r="D26" s="63">
        <v>294</v>
      </c>
      <c r="E26" s="63">
        <v>241</v>
      </c>
      <c r="F26" s="63">
        <v>190</v>
      </c>
      <c r="G26" s="63">
        <v>157</v>
      </c>
      <c r="L26" s="65">
        <v>19</v>
      </c>
      <c r="M26" s="70">
        <f t="shared" si="2"/>
        <v>970</v>
      </c>
      <c r="N26" s="71">
        <f t="shared" si="3"/>
        <v>2030</v>
      </c>
    </row>
    <row r="27" spans="2:16" x14ac:dyDescent="0.25">
      <c r="B27" s="62" t="s">
        <v>50</v>
      </c>
      <c r="C27" s="62" t="s">
        <v>196</v>
      </c>
      <c r="D27" s="63">
        <v>88</v>
      </c>
      <c r="E27" s="63">
        <v>74</v>
      </c>
      <c r="F27" s="63">
        <v>55</v>
      </c>
      <c r="G27" s="63">
        <v>39</v>
      </c>
      <c r="L27" s="65">
        <v>20</v>
      </c>
      <c r="M27" s="70">
        <f t="shared" si="2"/>
        <v>1010</v>
      </c>
      <c r="N27" s="71">
        <f t="shared" si="3"/>
        <v>2100</v>
      </c>
    </row>
    <row r="28" spans="2:16" x14ac:dyDescent="0.25">
      <c r="B28" s="62" t="s">
        <v>134</v>
      </c>
      <c r="C28" s="62" t="s">
        <v>196</v>
      </c>
      <c r="D28" s="63">
        <v>294</v>
      </c>
      <c r="E28" s="63">
        <v>241</v>
      </c>
      <c r="F28" s="63">
        <v>190</v>
      </c>
      <c r="G28" s="63">
        <v>157</v>
      </c>
      <c r="L28" s="65">
        <v>21</v>
      </c>
      <c r="M28" s="70">
        <f t="shared" si="2"/>
        <v>1050</v>
      </c>
      <c r="N28" s="71">
        <f t="shared" si="3"/>
        <v>2170</v>
      </c>
    </row>
    <row r="29" spans="2:16" x14ac:dyDescent="0.25">
      <c r="B29" s="62" t="s">
        <v>42</v>
      </c>
      <c r="C29" s="62" t="s">
        <v>196</v>
      </c>
      <c r="D29" s="63">
        <v>164</v>
      </c>
      <c r="E29" s="63">
        <v>137</v>
      </c>
      <c r="F29" s="63">
        <v>102</v>
      </c>
      <c r="G29" s="63">
        <v>78</v>
      </c>
      <c r="L29" s="65">
        <v>22</v>
      </c>
      <c r="M29" s="70">
        <f t="shared" si="2"/>
        <v>1090</v>
      </c>
      <c r="N29" s="71">
        <f t="shared" si="3"/>
        <v>2240</v>
      </c>
    </row>
    <row r="30" spans="2:16" x14ac:dyDescent="0.25">
      <c r="B30" s="62" t="s">
        <v>31</v>
      </c>
      <c r="C30" s="62" t="s">
        <v>196</v>
      </c>
      <c r="D30" s="63">
        <v>294</v>
      </c>
      <c r="E30" s="63">
        <v>241</v>
      </c>
      <c r="F30" s="63">
        <v>190</v>
      </c>
      <c r="G30" s="63">
        <v>157</v>
      </c>
      <c r="L30" s="65">
        <v>23</v>
      </c>
      <c r="M30" s="70">
        <f t="shared" si="2"/>
        <v>1130</v>
      </c>
      <c r="N30" s="71">
        <f t="shared" si="3"/>
        <v>2310</v>
      </c>
    </row>
    <row r="31" spans="2:16" x14ac:dyDescent="0.25">
      <c r="B31" s="62" t="s">
        <v>32</v>
      </c>
      <c r="C31" s="62" t="s">
        <v>196</v>
      </c>
      <c r="D31" s="63">
        <v>294</v>
      </c>
      <c r="E31" s="63">
        <v>241</v>
      </c>
      <c r="F31" s="63">
        <v>190</v>
      </c>
      <c r="G31" s="63">
        <v>157</v>
      </c>
      <c r="L31" s="65">
        <v>24</v>
      </c>
      <c r="M31" s="70">
        <f t="shared" si="2"/>
        <v>1170</v>
      </c>
      <c r="N31" s="71">
        <f t="shared" si="3"/>
        <v>2380</v>
      </c>
    </row>
    <row r="32" spans="2:16" x14ac:dyDescent="0.25">
      <c r="B32" s="62" t="s">
        <v>51</v>
      </c>
      <c r="C32" s="62" t="s">
        <v>196</v>
      </c>
      <c r="D32" s="63">
        <v>88</v>
      </c>
      <c r="E32" s="63">
        <v>74</v>
      </c>
      <c r="F32" s="63">
        <v>55</v>
      </c>
      <c r="G32" s="63">
        <v>39</v>
      </c>
      <c r="L32" s="65">
        <v>25</v>
      </c>
      <c r="M32" s="70">
        <f t="shared" si="2"/>
        <v>1210</v>
      </c>
      <c r="N32" s="71">
        <f t="shared" si="3"/>
        <v>2450</v>
      </c>
    </row>
    <row r="33" spans="2:14" x14ac:dyDescent="0.25">
      <c r="B33" s="62" t="s">
        <v>43</v>
      </c>
      <c r="C33" s="62" t="s">
        <v>196</v>
      </c>
      <c r="D33" s="63">
        <v>164</v>
      </c>
      <c r="E33" s="63">
        <v>137</v>
      </c>
      <c r="F33" s="63">
        <v>102</v>
      </c>
      <c r="G33" s="63">
        <v>78</v>
      </c>
      <c r="L33" s="65">
        <v>26</v>
      </c>
      <c r="M33" s="70">
        <f t="shared" si="2"/>
        <v>1250</v>
      </c>
      <c r="N33" s="71">
        <f t="shared" si="3"/>
        <v>2520</v>
      </c>
    </row>
    <row r="34" spans="2:14" x14ac:dyDescent="0.25">
      <c r="B34" s="62" t="s">
        <v>52</v>
      </c>
      <c r="C34" s="62" t="s">
        <v>196</v>
      </c>
      <c r="D34" s="63">
        <v>88</v>
      </c>
      <c r="E34" s="63">
        <v>74</v>
      </c>
      <c r="F34" s="63">
        <v>55</v>
      </c>
      <c r="G34" s="63">
        <v>39</v>
      </c>
      <c r="L34" s="65">
        <v>27</v>
      </c>
      <c r="M34" s="70">
        <f t="shared" si="2"/>
        <v>1290</v>
      </c>
      <c r="N34" s="71">
        <f t="shared" si="3"/>
        <v>2590</v>
      </c>
    </row>
    <row r="35" spans="2:14" x14ac:dyDescent="0.25">
      <c r="B35" s="62" t="s">
        <v>98</v>
      </c>
      <c r="C35" s="62" t="s">
        <v>196</v>
      </c>
      <c r="D35" s="63">
        <v>88</v>
      </c>
      <c r="E35" s="63">
        <v>74</v>
      </c>
      <c r="F35" s="63">
        <v>55</v>
      </c>
      <c r="G35" s="63">
        <v>39</v>
      </c>
      <c r="L35" s="65">
        <v>28</v>
      </c>
      <c r="M35" s="70">
        <f t="shared" si="2"/>
        <v>1330</v>
      </c>
      <c r="N35" s="71">
        <f t="shared" si="3"/>
        <v>2660</v>
      </c>
    </row>
    <row r="36" spans="2:14" x14ac:dyDescent="0.25">
      <c r="B36" s="62" t="s">
        <v>153</v>
      </c>
      <c r="C36" s="62" t="s">
        <v>196</v>
      </c>
      <c r="D36" s="63">
        <v>88</v>
      </c>
      <c r="E36" s="63">
        <v>74</v>
      </c>
      <c r="F36" s="63">
        <v>55</v>
      </c>
      <c r="G36" s="63">
        <v>39</v>
      </c>
      <c r="L36" s="65">
        <v>29</v>
      </c>
      <c r="M36" s="70">
        <f t="shared" si="2"/>
        <v>1370</v>
      </c>
      <c r="N36" s="71">
        <f t="shared" si="3"/>
        <v>2730</v>
      </c>
    </row>
    <row r="37" spans="2:14" x14ac:dyDescent="0.25">
      <c r="B37" s="62" t="s">
        <v>44</v>
      </c>
      <c r="C37" s="62" t="s">
        <v>196</v>
      </c>
      <c r="D37" s="63">
        <v>164</v>
      </c>
      <c r="E37" s="63">
        <v>137</v>
      </c>
      <c r="F37" s="63">
        <v>102</v>
      </c>
      <c r="G37" s="63">
        <v>78</v>
      </c>
      <c r="L37" s="65">
        <v>30</v>
      </c>
      <c r="M37" s="70">
        <f t="shared" si="2"/>
        <v>1410</v>
      </c>
      <c r="N37" s="71">
        <f t="shared" si="3"/>
        <v>2800</v>
      </c>
    </row>
    <row r="38" spans="2:14" x14ac:dyDescent="0.25">
      <c r="B38" s="62" t="s">
        <v>45</v>
      </c>
      <c r="C38" s="62" t="s">
        <v>196</v>
      </c>
      <c r="D38" s="63">
        <v>164</v>
      </c>
      <c r="E38" s="63">
        <v>137</v>
      </c>
      <c r="F38" s="63">
        <v>102</v>
      </c>
      <c r="G38" s="63">
        <v>78</v>
      </c>
      <c r="L38" s="65">
        <v>31</v>
      </c>
      <c r="M38" s="70">
        <f t="shared" si="2"/>
        <v>1450</v>
      </c>
      <c r="N38" s="71">
        <f t="shared" si="3"/>
        <v>2870</v>
      </c>
    </row>
    <row r="39" spans="2:14" x14ac:dyDescent="0.25">
      <c r="B39" s="62" t="s">
        <v>33</v>
      </c>
      <c r="C39" s="62" t="s">
        <v>196</v>
      </c>
      <c r="D39" s="63">
        <v>294</v>
      </c>
      <c r="E39" s="63">
        <v>241</v>
      </c>
      <c r="F39" s="63">
        <v>190</v>
      </c>
      <c r="G39" s="63">
        <v>157</v>
      </c>
      <c r="L39" s="65">
        <v>32</v>
      </c>
      <c r="M39" s="70">
        <f t="shared" si="2"/>
        <v>1490</v>
      </c>
      <c r="N39" s="71">
        <f t="shared" si="3"/>
        <v>2940</v>
      </c>
    </row>
    <row r="40" spans="2:14" x14ac:dyDescent="0.25">
      <c r="B40" s="62" t="s">
        <v>53</v>
      </c>
      <c r="C40" s="62" t="s">
        <v>196</v>
      </c>
      <c r="D40" s="63">
        <v>88</v>
      </c>
      <c r="E40" s="63">
        <v>74</v>
      </c>
      <c r="F40" s="63">
        <v>55</v>
      </c>
      <c r="G40" s="63">
        <v>39</v>
      </c>
      <c r="L40" s="65">
        <v>33</v>
      </c>
      <c r="M40" s="70">
        <f t="shared" si="2"/>
        <v>1530</v>
      </c>
      <c r="N40" s="71">
        <f t="shared" si="3"/>
        <v>3010</v>
      </c>
    </row>
    <row r="41" spans="2:14" x14ac:dyDescent="0.25">
      <c r="B41" s="62" t="s">
        <v>39</v>
      </c>
      <c r="C41" s="62" t="s">
        <v>196</v>
      </c>
      <c r="D41" s="63">
        <v>280</v>
      </c>
      <c r="E41" s="63">
        <v>214</v>
      </c>
      <c r="F41" s="63">
        <v>162</v>
      </c>
      <c r="G41" s="63">
        <v>131</v>
      </c>
      <c r="L41" s="65">
        <v>34</v>
      </c>
      <c r="M41" s="70">
        <f t="shared" si="2"/>
        <v>1570</v>
      </c>
      <c r="N41" s="71">
        <f t="shared" si="3"/>
        <v>3080</v>
      </c>
    </row>
    <row r="42" spans="2:14" x14ac:dyDescent="0.25">
      <c r="B42" s="64" t="s">
        <v>7</v>
      </c>
      <c r="C42" s="64" t="s">
        <v>197</v>
      </c>
      <c r="D42" s="72">
        <v>77</v>
      </c>
      <c r="E42" s="72">
        <v>57</v>
      </c>
      <c r="F42" s="72">
        <v>40</v>
      </c>
      <c r="G42" s="72">
        <v>32</v>
      </c>
      <c r="L42" s="65">
        <v>35</v>
      </c>
      <c r="M42" s="70">
        <f t="shared" si="2"/>
        <v>1610</v>
      </c>
      <c r="N42" s="71">
        <f t="shared" si="3"/>
        <v>3150</v>
      </c>
    </row>
    <row r="43" spans="2:14" x14ac:dyDescent="0.25">
      <c r="B43" s="64" t="s">
        <v>55</v>
      </c>
      <c r="C43" s="64" t="s">
        <v>197</v>
      </c>
      <c r="D43" s="72">
        <v>108</v>
      </c>
      <c r="E43" s="72">
        <v>80</v>
      </c>
      <c r="F43" s="72">
        <v>57</v>
      </c>
      <c r="G43" s="72">
        <v>45</v>
      </c>
      <c r="L43" s="65">
        <v>36</v>
      </c>
      <c r="M43" s="70">
        <f t="shared" si="2"/>
        <v>1650</v>
      </c>
      <c r="N43" s="71">
        <f t="shared" si="3"/>
        <v>3220</v>
      </c>
    </row>
    <row r="44" spans="2:14" x14ac:dyDescent="0.25">
      <c r="B44" s="64" t="s">
        <v>56</v>
      </c>
      <c r="C44" s="64" t="s">
        <v>197</v>
      </c>
      <c r="D44" s="72">
        <v>47</v>
      </c>
      <c r="E44" s="72">
        <v>33</v>
      </c>
      <c r="F44" s="72">
        <v>22</v>
      </c>
      <c r="G44" s="72">
        <v>17</v>
      </c>
      <c r="L44" s="65">
        <v>37</v>
      </c>
      <c r="M44" s="70">
        <f t="shared" si="2"/>
        <v>1690</v>
      </c>
      <c r="N44" s="71">
        <f t="shared" si="3"/>
        <v>3290</v>
      </c>
    </row>
    <row r="45" spans="2:14" x14ac:dyDescent="0.25">
      <c r="B45" s="64" t="s">
        <v>231</v>
      </c>
      <c r="C45" s="64" t="s">
        <v>197</v>
      </c>
      <c r="D45" s="72">
        <v>108</v>
      </c>
      <c r="E45" s="72">
        <v>80</v>
      </c>
      <c r="F45" s="72">
        <v>57</v>
      </c>
      <c r="G45" s="72">
        <v>45</v>
      </c>
      <c r="L45" s="65">
        <v>38</v>
      </c>
      <c r="M45" s="70">
        <f t="shared" si="2"/>
        <v>1730</v>
      </c>
      <c r="N45" s="71">
        <f t="shared" si="3"/>
        <v>3360</v>
      </c>
    </row>
    <row r="46" spans="2:14" x14ac:dyDescent="0.25">
      <c r="B46" s="64" t="s">
        <v>232</v>
      </c>
      <c r="C46" s="64" t="s">
        <v>197</v>
      </c>
      <c r="D46" s="72">
        <v>108</v>
      </c>
      <c r="E46" s="72">
        <v>80</v>
      </c>
      <c r="F46" s="72">
        <v>57</v>
      </c>
      <c r="G46" s="72">
        <v>45</v>
      </c>
      <c r="L46" s="65">
        <v>39</v>
      </c>
      <c r="M46" s="70">
        <f t="shared" si="2"/>
        <v>1770</v>
      </c>
      <c r="N46" s="71">
        <f t="shared" si="3"/>
        <v>3430</v>
      </c>
    </row>
    <row r="47" spans="2:14" x14ac:dyDescent="0.25">
      <c r="B47" s="64" t="s">
        <v>57</v>
      </c>
      <c r="C47" s="64" t="s">
        <v>197</v>
      </c>
      <c r="D47" s="72">
        <v>108</v>
      </c>
      <c r="E47" s="72">
        <v>80</v>
      </c>
      <c r="F47" s="72">
        <v>57</v>
      </c>
      <c r="G47" s="72">
        <v>45</v>
      </c>
      <c r="L47" s="65">
        <v>40</v>
      </c>
      <c r="M47" s="70">
        <f t="shared" si="2"/>
        <v>1810</v>
      </c>
      <c r="N47" s="71">
        <f t="shared" si="3"/>
        <v>3500</v>
      </c>
    </row>
    <row r="48" spans="2:14" x14ac:dyDescent="0.25">
      <c r="B48" s="64" t="s">
        <v>58</v>
      </c>
      <c r="C48" s="64" t="s">
        <v>197</v>
      </c>
      <c r="D48" s="72">
        <v>47</v>
      </c>
      <c r="E48" s="72">
        <v>33</v>
      </c>
      <c r="F48" s="72">
        <v>22</v>
      </c>
      <c r="G48" s="72">
        <v>17</v>
      </c>
      <c r="L48" s="65">
        <v>41</v>
      </c>
      <c r="M48" s="70">
        <f t="shared" si="2"/>
        <v>1850</v>
      </c>
      <c r="N48" s="71">
        <f t="shared" si="3"/>
        <v>3570</v>
      </c>
    </row>
    <row r="49" spans="2:14" x14ac:dyDescent="0.25">
      <c r="B49" s="64" t="s">
        <v>59</v>
      </c>
      <c r="C49" s="64" t="s">
        <v>197</v>
      </c>
      <c r="D49" s="72">
        <v>77</v>
      </c>
      <c r="E49" s="72">
        <v>57</v>
      </c>
      <c r="F49" s="72">
        <v>40</v>
      </c>
      <c r="G49" s="72">
        <v>32</v>
      </c>
      <c r="L49" s="65">
        <v>42</v>
      </c>
      <c r="M49" s="70">
        <f t="shared" si="2"/>
        <v>1890</v>
      </c>
      <c r="N49" s="71">
        <f t="shared" si="3"/>
        <v>3640</v>
      </c>
    </row>
    <row r="50" spans="2:14" x14ac:dyDescent="0.25">
      <c r="B50" s="64" t="s">
        <v>233</v>
      </c>
      <c r="C50" s="64" t="s">
        <v>197</v>
      </c>
      <c r="D50" s="72">
        <v>77</v>
      </c>
      <c r="E50" s="72">
        <v>57</v>
      </c>
      <c r="F50" s="72">
        <v>40</v>
      </c>
      <c r="G50" s="72">
        <v>32</v>
      </c>
      <c r="L50" s="65">
        <v>43</v>
      </c>
      <c r="M50" s="70">
        <f t="shared" si="2"/>
        <v>1930</v>
      </c>
      <c r="N50" s="71">
        <f t="shared" si="3"/>
        <v>3710</v>
      </c>
    </row>
    <row r="51" spans="2:14" x14ac:dyDescent="0.25">
      <c r="B51" s="64" t="s">
        <v>60</v>
      </c>
      <c r="C51" s="64" t="s">
        <v>197</v>
      </c>
      <c r="D51" s="72">
        <v>47</v>
      </c>
      <c r="E51" s="72">
        <v>33</v>
      </c>
      <c r="F51" s="72">
        <v>22</v>
      </c>
      <c r="G51" s="72">
        <v>17</v>
      </c>
      <c r="L51" s="65">
        <v>44</v>
      </c>
      <c r="M51" s="70">
        <f t="shared" si="2"/>
        <v>1970</v>
      </c>
      <c r="N51" s="71">
        <f t="shared" si="3"/>
        <v>3780</v>
      </c>
    </row>
    <row r="52" spans="2:14" x14ac:dyDescent="0.25">
      <c r="B52" s="64" t="s">
        <v>234</v>
      </c>
      <c r="C52" s="64" t="s">
        <v>197</v>
      </c>
      <c r="D52" s="72">
        <v>108</v>
      </c>
      <c r="E52" s="72">
        <v>80</v>
      </c>
      <c r="F52" s="72">
        <v>57</v>
      </c>
      <c r="G52" s="72">
        <v>45</v>
      </c>
      <c r="L52" s="65">
        <v>45</v>
      </c>
      <c r="M52" s="70">
        <f t="shared" si="2"/>
        <v>2010</v>
      </c>
      <c r="N52" s="71">
        <f t="shared" si="3"/>
        <v>3850</v>
      </c>
    </row>
    <row r="53" spans="2:14" x14ac:dyDescent="0.25">
      <c r="B53" s="64" t="s">
        <v>61</v>
      </c>
      <c r="C53" s="64" t="s">
        <v>197</v>
      </c>
      <c r="D53" s="72">
        <v>47</v>
      </c>
      <c r="E53" s="72">
        <v>33</v>
      </c>
      <c r="F53" s="72">
        <v>22</v>
      </c>
      <c r="G53" s="72">
        <v>17</v>
      </c>
      <c r="L53" s="65">
        <v>46</v>
      </c>
      <c r="M53" s="70">
        <f t="shared" si="2"/>
        <v>2050</v>
      </c>
      <c r="N53" s="71">
        <f t="shared" si="3"/>
        <v>3920</v>
      </c>
    </row>
    <row r="54" spans="2:14" x14ac:dyDescent="0.25">
      <c r="B54" s="64" t="s">
        <v>235</v>
      </c>
      <c r="C54" s="64" t="s">
        <v>197</v>
      </c>
      <c r="D54" s="72">
        <v>47</v>
      </c>
      <c r="E54" s="72">
        <v>33</v>
      </c>
      <c r="F54" s="72">
        <v>22</v>
      </c>
      <c r="G54" s="72">
        <v>17</v>
      </c>
      <c r="L54" s="65">
        <v>47</v>
      </c>
      <c r="M54" s="70">
        <f t="shared" si="2"/>
        <v>2090</v>
      </c>
      <c r="N54" s="71">
        <f t="shared" si="3"/>
        <v>3990</v>
      </c>
    </row>
    <row r="55" spans="2:14" x14ac:dyDescent="0.25">
      <c r="B55" s="64" t="s">
        <v>236</v>
      </c>
      <c r="C55" s="64" t="s">
        <v>197</v>
      </c>
      <c r="D55" s="72">
        <v>47</v>
      </c>
      <c r="E55" s="72">
        <v>33</v>
      </c>
      <c r="F55" s="72">
        <v>22</v>
      </c>
      <c r="G55" s="72">
        <v>17</v>
      </c>
      <c r="L55" s="65">
        <v>48</v>
      </c>
      <c r="M55" s="70">
        <f t="shared" si="2"/>
        <v>2130</v>
      </c>
      <c r="N55" s="71">
        <f t="shared" si="3"/>
        <v>4060</v>
      </c>
    </row>
    <row r="56" spans="2:14" x14ac:dyDescent="0.25">
      <c r="B56" s="64" t="s">
        <v>62</v>
      </c>
      <c r="C56" s="64" t="s">
        <v>197</v>
      </c>
      <c r="D56" s="72">
        <v>47</v>
      </c>
      <c r="E56" s="72">
        <v>33</v>
      </c>
      <c r="F56" s="72">
        <v>22</v>
      </c>
      <c r="G56" s="72">
        <v>17</v>
      </c>
      <c r="L56" s="65">
        <v>49</v>
      </c>
      <c r="M56" s="70">
        <f t="shared" si="2"/>
        <v>2170</v>
      </c>
      <c r="N56" s="71">
        <f t="shared" si="3"/>
        <v>4130</v>
      </c>
    </row>
    <row r="57" spans="2:14" x14ac:dyDescent="0.25">
      <c r="B57" s="64" t="s">
        <v>63</v>
      </c>
      <c r="C57" s="64" t="s">
        <v>197</v>
      </c>
      <c r="D57" s="72">
        <v>77</v>
      </c>
      <c r="E57" s="72">
        <v>57</v>
      </c>
      <c r="F57" s="72">
        <v>40</v>
      </c>
      <c r="G57" s="72">
        <v>32</v>
      </c>
      <c r="L57" s="65">
        <v>50</v>
      </c>
      <c r="M57" s="70">
        <f t="shared" si="2"/>
        <v>2210</v>
      </c>
      <c r="N57" s="71">
        <f t="shared" si="3"/>
        <v>4200</v>
      </c>
    </row>
    <row r="58" spans="2:14" x14ac:dyDescent="0.25">
      <c r="B58" s="64" t="s">
        <v>64</v>
      </c>
      <c r="C58" s="64" t="s">
        <v>197</v>
      </c>
      <c r="D58" s="72">
        <v>108</v>
      </c>
      <c r="E58" s="72">
        <v>80</v>
      </c>
      <c r="F58" s="72">
        <v>57</v>
      </c>
      <c r="G58" s="72">
        <v>45</v>
      </c>
      <c r="L58" s="65">
        <v>51</v>
      </c>
      <c r="M58" s="70">
        <f t="shared" si="2"/>
        <v>2250</v>
      </c>
      <c r="N58" s="71">
        <f t="shared" si="3"/>
        <v>4270</v>
      </c>
    </row>
    <row r="59" spans="2:14" x14ac:dyDescent="0.25">
      <c r="B59" s="64" t="s">
        <v>237</v>
      </c>
      <c r="C59" s="64" t="s">
        <v>197</v>
      </c>
      <c r="D59" s="72">
        <v>47</v>
      </c>
      <c r="E59" s="72">
        <v>33</v>
      </c>
      <c r="F59" s="72">
        <v>22</v>
      </c>
      <c r="G59" s="72">
        <v>17</v>
      </c>
      <c r="L59" s="65">
        <v>52</v>
      </c>
      <c r="M59" s="70">
        <f t="shared" si="2"/>
        <v>2290</v>
      </c>
      <c r="N59" s="71">
        <f t="shared" si="3"/>
        <v>4340</v>
      </c>
    </row>
    <row r="60" spans="2:14" x14ac:dyDescent="0.25">
      <c r="B60" s="64" t="s">
        <v>65</v>
      </c>
      <c r="C60" s="64" t="s">
        <v>197</v>
      </c>
      <c r="D60" s="72">
        <v>108</v>
      </c>
      <c r="E60" s="72">
        <v>80</v>
      </c>
      <c r="F60" s="72">
        <v>57</v>
      </c>
      <c r="G60" s="72">
        <v>45</v>
      </c>
      <c r="L60" s="65">
        <v>53</v>
      </c>
      <c r="M60" s="70">
        <f t="shared" si="2"/>
        <v>2330</v>
      </c>
      <c r="N60" s="71">
        <f t="shared" si="3"/>
        <v>4410</v>
      </c>
    </row>
    <row r="61" spans="2:14" x14ac:dyDescent="0.25">
      <c r="B61" s="64" t="s">
        <v>238</v>
      </c>
      <c r="C61" s="64" t="s">
        <v>197</v>
      </c>
      <c r="D61" s="72">
        <v>77</v>
      </c>
      <c r="E61" s="72">
        <v>57</v>
      </c>
      <c r="F61" s="72">
        <v>40</v>
      </c>
      <c r="G61" s="72">
        <v>32</v>
      </c>
      <c r="L61" s="65">
        <v>54</v>
      </c>
      <c r="M61" s="70">
        <f t="shared" si="2"/>
        <v>2370</v>
      </c>
      <c r="N61" s="71">
        <f t="shared" si="3"/>
        <v>4480</v>
      </c>
    </row>
    <row r="62" spans="2:14" x14ac:dyDescent="0.25">
      <c r="B62" s="64" t="s">
        <v>239</v>
      </c>
      <c r="C62" s="64" t="s">
        <v>197</v>
      </c>
      <c r="D62" s="72">
        <v>47</v>
      </c>
      <c r="E62" s="72">
        <v>33</v>
      </c>
      <c r="F62" s="72">
        <v>22</v>
      </c>
      <c r="G62" s="72">
        <v>17</v>
      </c>
      <c r="L62" s="65">
        <v>55</v>
      </c>
      <c r="M62" s="70">
        <f t="shared" si="2"/>
        <v>2410</v>
      </c>
      <c r="N62" s="71">
        <f t="shared" si="3"/>
        <v>4550</v>
      </c>
    </row>
    <row r="63" spans="2:14" x14ac:dyDescent="0.25">
      <c r="B63" s="64" t="s">
        <v>66</v>
      </c>
      <c r="C63" s="64" t="s">
        <v>197</v>
      </c>
      <c r="D63" s="72">
        <v>47</v>
      </c>
      <c r="E63" s="72">
        <v>33</v>
      </c>
      <c r="F63" s="72">
        <v>22</v>
      </c>
      <c r="G63" s="72">
        <v>17</v>
      </c>
      <c r="L63" s="65">
        <v>56</v>
      </c>
      <c r="M63" s="70">
        <f t="shared" si="2"/>
        <v>2450</v>
      </c>
      <c r="N63" s="71">
        <f t="shared" si="3"/>
        <v>4620</v>
      </c>
    </row>
    <row r="64" spans="2:14" x14ac:dyDescent="0.25">
      <c r="B64" s="64" t="s">
        <v>240</v>
      </c>
      <c r="C64" s="64" t="s">
        <v>197</v>
      </c>
      <c r="D64" s="72">
        <v>77</v>
      </c>
      <c r="E64" s="72">
        <v>57</v>
      </c>
      <c r="F64" s="72">
        <v>40</v>
      </c>
      <c r="G64" s="72">
        <v>32</v>
      </c>
      <c r="L64" s="65">
        <v>57</v>
      </c>
      <c r="M64" s="70">
        <f t="shared" si="2"/>
        <v>2490</v>
      </c>
      <c r="N64" s="71">
        <f t="shared" si="3"/>
        <v>4690</v>
      </c>
    </row>
    <row r="65" spans="2:14" x14ac:dyDescent="0.25">
      <c r="B65" s="64" t="s">
        <v>241</v>
      </c>
      <c r="C65" s="64" t="s">
        <v>197</v>
      </c>
      <c r="D65" s="72">
        <v>47</v>
      </c>
      <c r="E65" s="72">
        <v>33</v>
      </c>
      <c r="F65" s="72">
        <v>22</v>
      </c>
      <c r="G65" s="72">
        <v>17</v>
      </c>
      <c r="L65" s="65">
        <v>58</v>
      </c>
      <c r="M65" s="70">
        <f t="shared" si="2"/>
        <v>2530</v>
      </c>
      <c r="N65" s="71">
        <f t="shared" si="3"/>
        <v>4760</v>
      </c>
    </row>
    <row r="66" spans="2:14" x14ac:dyDescent="0.25">
      <c r="B66" s="64" t="s">
        <v>242</v>
      </c>
      <c r="C66" s="64" t="s">
        <v>197</v>
      </c>
      <c r="D66" s="72">
        <v>47</v>
      </c>
      <c r="E66" s="72">
        <v>33</v>
      </c>
      <c r="F66" s="72">
        <v>22</v>
      </c>
      <c r="G66" s="72">
        <v>17</v>
      </c>
      <c r="L66" s="65">
        <v>59</v>
      </c>
      <c r="M66" s="70">
        <f t="shared" si="2"/>
        <v>2570</v>
      </c>
      <c r="N66" s="71">
        <f t="shared" si="3"/>
        <v>4830</v>
      </c>
    </row>
    <row r="67" spans="2:14" x14ac:dyDescent="0.25">
      <c r="B67" s="64" t="s">
        <v>243</v>
      </c>
      <c r="C67" s="64" t="s">
        <v>197</v>
      </c>
      <c r="D67" s="72">
        <v>47</v>
      </c>
      <c r="E67" s="72">
        <v>33</v>
      </c>
      <c r="F67" s="72">
        <v>22</v>
      </c>
      <c r="G67" s="72">
        <v>17</v>
      </c>
      <c r="L67" s="65">
        <v>60</v>
      </c>
      <c r="M67" s="70">
        <f t="shared" si="2"/>
        <v>2610</v>
      </c>
      <c r="N67" s="71">
        <f t="shared" si="3"/>
        <v>4900</v>
      </c>
    </row>
    <row r="68" spans="2:14" x14ac:dyDescent="0.25">
      <c r="B68" s="64" t="s">
        <v>351</v>
      </c>
      <c r="C68" s="64" t="s">
        <v>197</v>
      </c>
      <c r="D68" s="72">
        <v>108</v>
      </c>
      <c r="E68" s="72">
        <v>80</v>
      </c>
      <c r="F68" s="72">
        <v>57</v>
      </c>
      <c r="G68" s="72">
        <v>45</v>
      </c>
      <c r="L68" s="73">
        <v>61</v>
      </c>
      <c r="M68" s="70">
        <f t="shared" si="2"/>
        <v>2650</v>
      </c>
      <c r="N68" s="74">
        <f>((L68-$L$67)*50)+4900</f>
        <v>4950</v>
      </c>
    </row>
    <row r="69" spans="2:14" x14ac:dyDescent="0.25">
      <c r="B69" s="64" t="s">
        <v>67</v>
      </c>
      <c r="C69" s="64" t="s">
        <v>197</v>
      </c>
      <c r="D69" s="72">
        <v>77</v>
      </c>
      <c r="E69" s="72">
        <v>57</v>
      </c>
      <c r="F69" s="72">
        <v>40</v>
      </c>
      <c r="G69" s="72">
        <v>32</v>
      </c>
      <c r="L69" s="65">
        <v>62</v>
      </c>
      <c r="M69" s="70">
        <f t="shared" si="2"/>
        <v>2690</v>
      </c>
      <c r="N69" s="74">
        <f t="shared" ref="N69:N97" si="4">((L69-$L$67)*50)+4900</f>
        <v>5000</v>
      </c>
    </row>
    <row r="70" spans="2:14" x14ac:dyDescent="0.25">
      <c r="B70" s="64" t="s">
        <v>68</v>
      </c>
      <c r="C70" s="64" t="s">
        <v>197</v>
      </c>
      <c r="D70" s="72">
        <v>108</v>
      </c>
      <c r="E70" s="72">
        <v>80</v>
      </c>
      <c r="F70" s="72">
        <v>57</v>
      </c>
      <c r="G70" s="72">
        <v>45</v>
      </c>
      <c r="L70" s="65">
        <v>63</v>
      </c>
      <c r="M70" s="70">
        <f t="shared" si="2"/>
        <v>2730</v>
      </c>
      <c r="N70" s="74">
        <f t="shared" si="4"/>
        <v>5050</v>
      </c>
    </row>
    <row r="71" spans="2:14" x14ac:dyDescent="0.25">
      <c r="B71" s="64" t="s">
        <v>244</v>
      </c>
      <c r="C71" s="64" t="s">
        <v>197</v>
      </c>
      <c r="D71" s="72">
        <v>108</v>
      </c>
      <c r="E71" s="72">
        <v>80</v>
      </c>
      <c r="F71" s="72">
        <v>57</v>
      </c>
      <c r="G71" s="72">
        <v>45</v>
      </c>
      <c r="L71" s="65">
        <v>64</v>
      </c>
      <c r="M71" s="70">
        <f t="shared" si="2"/>
        <v>2770</v>
      </c>
      <c r="N71" s="74">
        <f t="shared" si="4"/>
        <v>5100</v>
      </c>
    </row>
    <row r="72" spans="2:14" x14ac:dyDescent="0.25">
      <c r="B72" s="64" t="s">
        <v>245</v>
      </c>
      <c r="C72" s="64" t="s">
        <v>197</v>
      </c>
      <c r="D72" s="72">
        <v>77</v>
      </c>
      <c r="E72" s="72">
        <v>57</v>
      </c>
      <c r="F72" s="72">
        <v>40</v>
      </c>
      <c r="G72" s="72">
        <v>32</v>
      </c>
      <c r="L72" s="65">
        <v>65</v>
      </c>
      <c r="M72" s="70">
        <f t="shared" si="2"/>
        <v>2810</v>
      </c>
      <c r="N72" s="74">
        <f t="shared" si="4"/>
        <v>5150</v>
      </c>
    </row>
    <row r="73" spans="2:14" x14ac:dyDescent="0.25">
      <c r="B73" s="64" t="s">
        <v>325</v>
      </c>
      <c r="C73" s="64" t="s">
        <v>197</v>
      </c>
      <c r="D73" s="72">
        <v>47</v>
      </c>
      <c r="E73" s="72">
        <v>33</v>
      </c>
      <c r="F73" s="72">
        <v>22</v>
      </c>
      <c r="G73" s="72">
        <v>17</v>
      </c>
      <c r="L73" s="65">
        <v>66</v>
      </c>
      <c r="M73" s="70">
        <f t="shared" si="2"/>
        <v>2850</v>
      </c>
      <c r="N73" s="74">
        <f t="shared" si="4"/>
        <v>5200</v>
      </c>
    </row>
    <row r="74" spans="2:14" x14ac:dyDescent="0.25">
      <c r="B74" s="64" t="s">
        <v>246</v>
      </c>
      <c r="C74" s="64" t="s">
        <v>197</v>
      </c>
      <c r="D74" s="72">
        <v>108</v>
      </c>
      <c r="E74" s="72">
        <v>80</v>
      </c>
      <c r="F74" s="72">
        <v>57</v>
      </c>
      <c r="G74" s="72">
        <v>45</v>
      </c>
      <c r="L74" s="65">
        <v>67</v>
      </c>
      <c r="M74" s="70">
        <f t="shared" si="2"/>
        <v>2890</v>
      </c>
      <c r="N74" s="74">
        <f t="shared" si="4"/>
        <v>5250</v>
      </c>
    </row>
    <row r="75" spans="2:14" x14ac:dyDescent="0.25">
      <c r="B75" s="64" t="s">
        <v>69</v>
      </c>
      <c r="C75" s="64" t="s">
        <v>197</v>
      </c>
      <c r="D75" s="72">
        <v>77</v>
      </c>
      <c r="E75" s="72">
        <v>57</v>
      </c>
      <c r="F75" s="72">
        <v>40</v>
      </c>
      <c r="G75" s="72">
        <v>32</v>
      </c>
      <c r="L75" s="65">
        <v>68</v>
      </c>
      <c r="M75" s="70">
        <f t="shared" si="2"/>
        <v>2930</v>
      </c>
      <c r="N75" s="74">
        <f t="shared" si="4"/>
        <v>5300</v>
      </c>
    </row>
    <row r="76" spans="2:14" x14ac:dyDescent="0.25">
      <c r="B76" s="64" t="s">
        <v>70</v>
      </c>
      <c r="C76" s="64" t="s">
        <v>197</v>
      </c>
      <c r="D76" s="72">
        <v>47</v>
      </c>
      <c r="E76" s="72">
        <v>33</v>
      </c>
      <c r="F76" s="72">
        <v>22</v>
      </c>
      <c r="G76" s="72">
        <v>17</v>
      </c>
      <c r="L76" s="65">
        <v>69</v>
      </c>
      <c r="M76" s="70">
        <f t="shared" si="2"/>
        <v>2970</v>
      </c>
      <c r="N76" s="74">
        <f t="shared" si="4"/>
        <v>5350</v>
      </c>
    </row>
    <row r="77" spans="2:14" x14ac:dyDescent="0.25">
      <c r="B77" s="64" t="s">
        <v>247</v>
      </c>
      <c r="C77" s="64" t="s">
        <v>197</v>
      </c>
      <c r="D77" s="72">
        <v>77</v>
      </c>
      <c r="E77" s="72">
        <v>57</v>
      </c>
      <c r="F77" s="72">
        <v>40</v>
      </c>
      <c r="G77" s="72">
        <v>32</v>
      </c>
      <c r="L77" s="65">
        <v>70</v>
      </c>
      <c r="M77" s="70">
        <f t="shared" si="2"/>
        <v>3010</v>
      </c>
      <c r="N77" s="74">
        <f t="shared" si="4"/>
        <v>5400</v>
      </c>
    </row>
    <row r="78" spans="2:14" x14ac:dyDescent="0.25">
      <c r="B78" s="64" t="s">
        <v>248</v>
      </c>
      <c r="C78" s="64" t="s">
        <v>197</v>
      </c>
      <c r="D78" s="72">
        <v>108</v>
      </c>
      <c r="E78" s="72">
        <v>80</v>
      </c>
      <c r="F78" s="72">
        <v>57</v>
      </c>
      <c r="G78" s="72">
        <v>45</v>
      </c>
      <c r="L78" s="65">
        <v>71</v>
      </c>
      <c r="M78" s="70">
        <f t="shared" si="2"/>
        <v>3050</v>
      </c>
      <c r="N78" s="74">
        <f t="shared" si="4"/>
        <v>5450</v>
      </c>
    </row>
    <row r="79" spans="2:14" x14ac:dyDescent="0.25">
      <c r="B79" s="64" t="s">
        <v>249</v>
      </c>
      <c r="C79" s="64" t="s">
        <v>197</v>
      </c>
      <c r="D79" s="72">
        <v>77</v>
      </c>
      <c r="E79" s="72">
        <v>57</v>
      </c>
      <c r="F79" s="72">
        <v>40</v>
      </c>
      <c r="G79" s="72">
        <v>32</v>
      </c>
      <c r="L79" s="65">
        <v>72</v>
      </c>
      <c r="M79" s="70">
        <f t="shared" si="2"/>
        <v>3090</v>
      </c>
      <c r="N79" s="74">
        <f t="shared" si="4"/>
        <v>5500</v>
      </c>
    </row>
    <row r="80" spans="2:14" x14ac:dyDescent="0.25">
      <c r="B80" s="64" t="s">
        <v>321</v>
      </c>
      <c r="C80" s="64" t="s">
        <v>197</v>
      </c>
      <c r="D80" s="72">
        <v>47</v>
      </c>
      <c r="E80" s="72">
        <v>33</v>
      </c>
      <c r="F80" s="72">
        <v>22</v>
      </c>
      <c r="G80" s="72">
        <v>17</v>
      </c>
      <c r="L80" s="65">
        <v>73</v>
      </c>
      <c r="M80" s="70">
        <f t="shared" si="2"/>
        <v>3130</v>
      </c>
      <c r="N80" s="74">
        <f t="shared" si="4"/>
        <v>5550</v>
      </c>
    </row>
    <row r="81" spans="2:14" x14ac:dyDescent="0.25">
      <c r="B81" s="64" t="s">
        <v>71</v>
      </c>
      <c r="C81" s="64" t="s">
        <v>197</v>
      </c>
      <c r="D81" s="72">
        <v>77</v>
      </c>
      <c r="E81" s="72">
        <v>57</v>
      </c>
      <c r="F81" s="72">
        <v>40</v>
      </c>
      <c r="G81" s="72">
        <v>32</v>
      </c>
      <c r="L81" s="65">
        <v>74</v>
      </c>
      <c r="M81" s="70">
        <f t="shared" si="2"/>
        <v>3170</v>
      </c>
      <c r="N81" s="74">
        <f t="shared" si="4"/>
        <v>5600</v>
      </c>
    </row>
    <row r="82" spans="2:14" x14ac:dyDescent="0.25">
      <c r="B82" s="64" t="s">
        <v>72</v>
      </c>
      <c r="C82" s="64" t="s">
        <v>197</v>
      </c>
      <c r="D82" s="72">
        <v>47</v>
      </c>
      <c r="E82" s="72">
        <v>33</v>
      </c>
      <c r="F82" s="72">
        <v>22</v>
      </c>
      <c r="G82" s="72">
        <v>17</v>
      </c>
      <c r="L82" s="65">
        <v>75</v>
      </c>
      <c r="M82" s="70">
        <f t="shared" si="2"/>
        <v>3210</v>
      </c>
      <c r="N82" s="74">
        <f t="shared" si="4"/>
        <v>5650</v>
      </c>
    </row>
    <row r="83" spans="2:14" x14ac:dyDescent="0.25">
      <c r="B83" s="64" t="s">
        <v>310</v>
      </c>
      <c r="C83" s="64" t="s">
        <v>197</v>
      </c>
      <c r="D83" s="72">
        <v>77</v>
      </c>
      <c r="E83" s="72">
        <v>57</v>
      </c>
      <c r="F83" s="72">
        <v>40</v>
      </c>
      <c r="G83" s="72">
        <v>32</v>
      </c>
      <c r="L83" s="65">
        <v>76</v>
      </c>
      <c r="M83" s="70">
        <f t="shared" si="2"/>
        <v>3250</v>
      </c>
      <c r="N83" s="74">
        <f t="shared" si="4"/>
        <v>5700</v>
      </c>
    </row>
    <row r="84" spans="2:14" x14ac:dyDescent="0.25">
      <c r="B84" s="64" t="s">
        <v>250</v>
      </c>
      <c r="C84" s="64" t="s">
        <v>197</v>
      </c>
      <c r="D84" s="72">
        <v>47</v>
      </c>
      <c r="E84" s="72">
        <v>33</v>
      </c>
      <c r="F84" s="72">
        <v>22</v>
      </c>
      <c r="G84" s="72">
        <v>17</v>
      </c>
      <c r="L84" s="65">
        <v>77</v>
      </c>
      <c r="M84" s="70">
        <f t="shared" si="2"/>
        <v>3290</v>
      </c>
      <c r="N84" s="74">
        <f t="shared" si="4"/>
        <v>5750</v>
      </c>
    </row>
    <row r="85" spans="2:14" x14ac:dyDescent="0.25">
      <c r="B85" s="64" t="s">
        <v>251</v>
      </c>
      <c r="C85" s="64" t="s">
        <v>197</v>
      </c>
      <c r="D85" s="72">
        <v>47</v>
      </c>
      <c r="E85" s="72">
        <v>33</v>
      </c>
      <c r="F85" s="72">
        <v>22</v>
      </c>
      <c r="G85" s="72">
        <v>17</v>
      </c>
      <c r="L85" s="65">
        <v>78</v>
      </c>
      <c r="M85" s="70">
        <f t="shared" si="2"/>
        <v>3330</v>
      </c>
      <c r="N85" s="74">
        <f t="shared" si="4"/>
        <v>5800</v>
      </c>
    </row>
    <row r="86" spans="2:14" x14ac:dyDescent="0.25">
      <c r="B86" s="64" t="s">
        <v>252</v>
      </c>
      <c r="C86" s="64" t="s">
        <v>197</v>
      </c>
      <c r="D86" s="72">
        <v>47</v>
      </c>
      <c r="E86" s="72">
        <v>33</v>
      </c>
      <c r="F86" s="72">
        <v>22</v>
      </c>
      <c r="G86" s="72">
        <v>17</v>
      </c>
      <c r="L86" s="65">
        <v>79</v>
      </c>
      <c r="M86" s="70">
        <f t="shared" si="2"/>
        <v>3370</v>
      </c>
      <c r="N86" s="74">
        <f t="shared" si="4"/>
        <v>5850</v>
      </c>
    </row>
    <row r="87" spans="2:14" x14ac:dyDescent="0.25">
      <c r="B87" s="64" t="s">
        <v>320</v>
      </c>
      <c r="C87" s="64" t="s">
        <v>197</v>
      </c>
      <c r="D87" s="72">
        <v>47</v>
      </c>
      <c r="E87" s="72">
        <v>33</v>
      </c>
      <c r="F87" s="72">
        <v>22</v>
      </c>
      <c r="G87" s="72">
        <v>17</v>
      </c>
      <c r="L87" s="65">
        <v>80</v>
      </c>
      <c r="M87" s="70">
        <f t="shared" ref="M87:M97" si="5">((L87-$L$21)*40)+770</f>
        <v>3410</v>
      </c>
      <c r="N87" s="74">
        <f t="shared" si="4"/>
        <v>5900</v>
      </c>
    </row>
    <row r="88" spans="2:14" x14ac:dyDescent="0.25">
      <c r="B88" s="64" t="s">
        <v>253</v>
      </c>
      <c r="C88" s="64" t="s">
        <v>197</v>
      </c>
      <c r="D88" s="72">
        <v>108</v>
      </c>
      <c r="E88" s="72">
        <v>80</v>
      </c>
      <c r="F88" s="72">
        <v>57</v>
      </c>
      <c r="G88" s="72">
        <v>45</v>
      </c>
      <c r="L88" s="65">
        <v>81</v>
      </c>
      <c r="M88" s="70">
        <f t="shared" si="5"/>
        <v>3450</v>
      </c>
      <c r="N88" s="74">
        <f t="shared" si="4"/>
        <v>5950</v>
      </c>
    </row>
    <row r="89" spans="2:14" x14ac:dyDescent="0.25">
      <c r="B89" s="64" t="s">
        <v>254</v>
      </c>
      <c r="C89" s="64" t="s">
        <v>197</v>
      </c>
      <c r="D89" s="72">
        <v>47</v>
      </c>
      <c r="E89" s="72">
        <v>33</v>
      </c>
      <c r="F89" s="72">
        <v>22</v>
      </c>
      <c r="G89" s="72">
        <v>17</v>
      </c>
      <c r="L89" s="65">
        <v>82</v>
      </c>
      <c r="M89" s="70">
        <f t="shared" si="5"/>
        <v>3490</v>
      </c>
      <c r="N89" s="74">
        <f t="shared" si="4"/>
        <v>6000</v>
      </c>
    </row>
    <row r="90" spans="2:14" x14ac:dyDescent="0.25">
      <c r="B90" s="64" t="s">
        <v>73</v>
      </c>
      <c r="C90" s="64" t="s">
        <v>197</v>
      </c>
      <c r="D90" s="72">
        <v>77</v>
      </c>
      <c r="E90" s="72">
        <v>57</v>
      </c>
      <c r="F90" s="72">
        <v>40</v>
      </c>
      <c r="G90" s="72">
        <v>32</v>
      </c>
      <c r="L90" s="65">
        <v>83</v>
      </c>
      <c r="M90" s="70">
        <f t="shared" si="5"/>
        <v>3530</v>
      </c>
      <c r="N90" s="74">
        <f t="shared" si="4"/>
        <v>6050</v>
      </c>
    </row>
    <row r="91" spans="2:14" x14ac:dyDescent="0.25">
      <c r="B91" s="64" t="s">
        <v>255</v>
      </c>
      <c r="C91" s="64" t="s">
        <v>197</v>
      </c>
      <c r="D91" s="72">
        <v>47</v>
      </c>
      <c r="E91" s="72">
        <v>33</v>
      </c>
      <c r="F91" s="72">
        <v>22</v>
      </c>
      <c r="G91" s="72">
        <v>17</v>
      </c>
      <c r="L91" s="65">
        <v>84</v>
      </c>
      <c r="M91" s="70">
        <f t="shared" si="5"/>
        <v>3570</v>
      </c>
      <c r="N91" s="74">
        <f t="shared" si="4"/>
        <v>6100</v>
      </c>
    </row>
    <row r="92" spans="2:14" x14ac:dyDescent="0.25">
      <c r="B92" s="64" t="s">
        <v>256</v>
      </c>
      <c r="C92" s="64" t="s">
        <v>197</v>
      </c>
      <c r="D92" s="72">
        <v>108</v>
      </c>
      <c r="E92" s="72">
        <v>80</v>
      </c>
      <c r="F92" s="72">
        <v>57</v>
      </c>
      <c r="G92" s="72">
        <v>45</v>
      </c>
      <c r="L92" s="65">
        <v>85</v>
      </c>
      <c r="M92" s="70">
        <f t="shared" si="5"/>
        <v>3610</v>
      </c>
      <c r="N92" s="74">
        <f t="shared" si="4"/>
        <v>6150</v>
      </c>
    </row>
    <row r="93" spans="2:14" x14ac:dyDescent="0.25">
      <c r="B93" s="64" t="s">
        <v>74</v>
      </c>
      <c r="C93" s="64" t="s">
        <v>197</v>
      </c>
      <c r="D93" s="72">
        <v>77</v>
      </c>
      <c r="E93" s="72">
        <v>57</v>
      </c>
      <c r="F93" s="72">
        <v>40</v>
      </c>
      <c r="G93" s="72">
        <v>32</v>
      </c>
      <c r="L93" s="65">
        <v>86</v>
      </c>
      <c r="M93" s="70">
        <f t="shared" si="5"/>
        <v>3650</v>
      </c>
      <c r="N93" s="74">
        <f t="shared" si="4"/>
        <v>6200</v>
      </c>
    </row>
    <row r="94" spans="2:14" x14ac:dyDescent="0.25">
      <c r="B94" s="64" t="s">
        <v>257</v>
      </c>
      <c r="C94" s="64" t="s">
        <v>197</v>
      </c>
      <c r="D94" s="72">
        <v>47</v>
      </c>
      <c r="E94" s="72">
        <v>33</v>
      </c>
      <c r="F94" s="72">
        <v>22</v>
      </c>
      <c r="G94" s="72">
        <v>17</v>
      </c>
      <c r="L94" s="65">
        <v>87</v>
      </c>
      <c r="M94" s="70">
        <f t="shared" si="5"/>
        <v>3690</v>
      </c>
      <c r="N94" s="74">
        <f t="shared" si="4"/>
        <v>6250</v>
      </c>
    </row>
    <row r="95" spans="2:14" x14ac:dyDescent="0.25">
      <c r="B95" s="64" t="s">
        <v>258</v>
      </c>
      <c r="C95" s="64" t="s">
        <v>197</v>
      </c>
      <c r="D95" s="72">
        <v>77</v>
      </c>
      <c r="E95" s="72">
        <v>57</v>
      </c>
      <c r="F95" s="72">
        <v>40</v>
      </c>
      <c r="G95" s="72">
        <v>32</v>
      </c>
      <c r="L95" s="65">
        <v>88</v>
      </c>
      <c r="M95" s="70">
        <f t="shared" si="5"/>
        <v>3730</v>
      </c>
      <c r="N95" s="74">
        <f t="shared" si="4"/>
        <v>6300</v>
      </c>
    </row>
    <row r="96" spans="2:14" x14ac:dyDescent="0.25">
      <c r="B96" s="64" t="s">
        <v>259</v>
      </c>
      <c r="C96" s="64" t="s">
        <v>197</v>
      </c>
      <c r="D96" s="72">
        <v>47</v>
      </c>
      <c r="E96" s="72">
        <v>33</v>
      </c>
      <c r="F96" s="72">
        <v>22</v>
      </c>
      <c r="G96" s="72">
        <v>17</v>
      </c>
      <c r="L96" s="65">
        <v>89</v>
      </c>
      <c r="M96" s="70">
        <f t="shared" si="5"/>
        <v>3770</v>
      </c>
      <c r="N96" s="74">
        <f t="shared" si="4"/>
        <v>6350</v>
      </c>
    </row>
    <row r="97" spans="2:14" x14ac:dyDescent="0.25">
      <c r="B97" s="64" t="s">
        <v>260</v>
      </c>
      <c r="C97" s="64" t="s">
        <v>197</v>
      </c>
      <c r="D97" s="72">
        <v>77</v>
      </c>
      <c r="E97" s="72">
        <v>57</v>
      </c>
      <c r="F97" s="72">
        <v>40</v>
      </c>
      <c r="G97" s="72">
        <v>32</v>
      </c>
      <c r="L97" s="65">
        <v>90</v>
      </c>
      <c r="M97" s="70">
        <f t="shared" si="5"/>
        <v>3810</v>
      </c>
      <c r="N97" s="74">
        <f t="shared" si="4"/>
        <v>6400</v>
      </c>
    </row>
    <row r="98" spans="2:14" x14ac:dyDescent="0.25">
      <c r="B98" s="64" t="s">
        <v>75</v>
      </c>
      <c r="C98" s="64" t="s">
        <v>197</v>
      </c>
      <c r="D98" s="72">
        <v>47</v>
      </c>
      <c r="E98" s="72">
        <v>33</v>
      </c>
      <c r="F98" s="72">
        <v>22</v>
      </c>
      <c r="G98" s="72">
        <v>17</v>
      </c>
    </row>
    <row r="99" spans="2:14" x14ac:dyDescent="0.25">
      <c r="B99" s="64" t="s">
        <v>76</v>
      </c>
      <c r="C99" s="64" t="s">
        <v>197</v>
      </c>
      <c r="D99" s="72">
        <v>47</v>
      </c>
      <c r="E99" s="72">
        <v>33</v>
      </c>
      <c r="F99" s="72">
        <v>22</v>
      </c>
      <c r="G99" s="72">
        <v>17</v>
      </c>
    </row>
    <row r="100" spans="2:14" x14ac:dyDescent="0.25">
      <c r="B100" s="64" t="s">
        <v>77</v>
      </c>
      <c r="C100" s="64" t="s">
        <v>197</v>
      </c>
      <c r="D100" s="72">
        <v>47</v>
      </c>
      <c r="E100" s="72">
        <v>33</v>
      </c>
      <c r="F100" s="72">
        <v>22</v>
      </c>
      <c r="G100" s="72">
        <v>17</v>
      </c>
    </row>
    <row r="101" spans="2:14" x14ac:dyDescent="0.25">
      <c r="B101" s="64" t="s">
        <v>78</v>
      </c>
      <c r="C101" s="64" t="s">
        <v>197</v>
      </c>
      <c r="D101" s="72">
        <v>77</v>
      </c>
      <c r="E101" s="72">
        <v>57</v>
      </c>
      <c r="F101" s="72">
        <v>40</v>
      </c>
      <c r="G101" s="72">
        <v>32</v>
      </c>
    </row>
    <row r="102" spans="2:14" x14ac:dyDescent="0.25">
      <c r="B102" s="64" t="s">
        <v>79</v>
      </c>
      <c r="C102" s="64" t="s">
        <v>197</v>
      </c>
      <c r="D102" s="72">
        <v>77</v>
      </c>
      <c r="E102" s="72">
        <v>57</v>
      </c>
      <c r="F102" s="72">
        <v>40</v>
      </c>
      <c r="G102" s="72">
        <v>32</v>
      </c>
    </row>
    <row r="103" spans="2:14" x14ac:dyDescent="0.25">
      <c r="B103" s="64" t="s">
        <v>54</v>
      </c>
      <c r="C103" s="64" t="s">
        <v>197</v>
      </c>
      <c r="D103" s="72">
        <v>166</v>
      </c>
      <c r="E103" s="72">
        <v>132</v>
      </c>
      <c r="F103" s="72">
        <v>102</v>
      </c>
      <c r="G103" s="72">
        <v>92</v>
      </c>
    </row>
    <row r="104" spans="2:14" x14ac:dyDescent="0.25">
      <c r="B104" s="64" t="s">
        <v>261</v>
      </c>
      <c r="C104" s="64" t="s">
        <v>197</v>
      </c>
      <c r="D104" s="72">
        <v>108</v>
      </c>
      <c r="E104" s="72">
        <v>80</v>
      </c>
      <c r="F104" s="72">
        <v>57</v>
      </c>
      <c r="G104" s="72">
        <v>45</v>
      </c>
    </row>
    <row r="105" spans="2:14" x14ac:dyDescent="0.25">
      <c r="B105" s="64" t="s">
        <v>262</v>
      </c>
      <c r="C105" s="64" t="s">
        <v>197</v>
      </c>
      <c r="D105" s="72">
        <v>77</v>
      </c>
      <c r="E105" s="72">
        <v>57</v>
      </c>
      <c r="F105" s="72">
        <v>40</v>
      </c>
      <c r="G105" s="72">
        <v>32</v>
      </c>
    </row>
    <row r="106" spans="2:14" x14ac:dyDescent="0.25">
      <c r="B106" s="64" t="s">
        <v>80</v>
      </c>
      <c r="C106" s="64" t="s">
        <v>197</v>
      </c>
      <c r="D106" s="72">
        <v>77</v>
      </c>
      <c r="E106" s="72">
        <v>57</v>
      </c>
      <c r="F106" s="72">
        <v>40</v>
      </c>
      <c r="G106" s="72">
        <v>32</v>
      </c>
    </row>
    <row r="107" spans="2:14" x14ac:dyDescent="0.25">
      <c r="B107" s="64" t="s">
        <v>324</v>
      </c>
      <c r="C107" s="64" t="s">
        <v>197</v>
      </c>
      <c r="D107" s="72">
        <v>77</v>
      </c>
      <c r="E107" s="72">
        <v>57</v>
      </c>
      <c r="F107" s="72">
        <v>40</v>
      </c>
      <c r="G107" s="72">
        <v>32</v>
      </c>
    </row>
    <row r="108" spans="2:14" x14ac:dyDescent="0.25">
      <c r="B108" s="64" t="s">
        <v>263</v>
      </c>
      <c r="C108" s="64" t="s">
        <v>197</v>
      </c>
      <c r="D108" s="72">
        <v>77</v>
      </c>
      <c r="E108" s="72">
        <v>57</v>
      </c>
      <c r="F108" s="72">
        <v>40</v>
      </c>
      <c r="G108" s="72">
        <v>32</v>
      </c>
    </row>
    <row r="109" spans="2:14" x14ac:dyDescent="0.25">
      <c r="B109" s="64" t="s">
        <v>264</v>
      </c>
      <c r="C109" s="64" t="s">
        <v>197</v>
      </c>
      <c r="D109" s="72">
        <v>47</v>
      </c>
      <c r="E109" s="72">
        <v>33</v>
      </c>
      <c r="F109" s="72">
        <v>22</v>
      </c>
      <c r="G109" s="72">
        <v>17</v>
      </c>
    </row>
    <row r="110" spans="2:14" x14ac:dyDescent="0.25">
      <c r="B110" s="64" t="s">
        <v>168</v>
      </c>
      <c r="C110" s="64" t="s">
        <v>197</v>
      </c>
      <c r="D110" s="72">
        <v>108</v>
      </c>
      <c r="E110" s="72">
        <v>80</v>
      </c>
      <c r="F110" s="72">
        <v>57</v>
      </c>
      <c r="G110" s="72">
        <v>45</v>
      </c>
    </row>
    <row r="111" spans="2:14" x14ac:dyDescent="0.25">
      <c r="B111" s="64" t="s">
        <v>81</v>
      </c>
      <c r="C111" s="64" t="s">
        <v>197</v>
      </c>
      <c r="D111" s="72">
        <v>47</v>
      </c>
      <c r="E111" s="72">
        <v>33</v>
      </c>
      <c r="F111" s="72">
        <v>22</v>
      </c>
      <c r="G111" s="72">
        <v>17</v>
      </c>
    </row>
    <row r="112" spans="2:14" x14ac:dyDescent="0.25">
      <c r="B112" s="64" t="s">
        <v>82</v>
      </c>
      <c r="C112" s="64" t="s">
        <v>197</v>
      </c>
      <c r="D112" s="72">
        <v>47</v>
      </c>
      <c r="E112" s="72">
        <v>33</v>
      </c>
      <c r="F112" s="72">
        <v>22</v>
      </c>
      <c r="G112" s="72">
        <v>17</v>
      </c>
    </row>
    <row r="113" spans="2:7" x14ac:dyDescent="0.25">
      <c r="B113" s="64" t="s">
        <v>83</v>
      </c>
      <c r="C113" s="64" t="s">
        <v>197</v>
      </c>
      <c r="D113" s="72">
        <v>108</v>
      </c>
      <c r="E113" s="72">
        <v>80</v>
      </c>
      <c r="F113" s="72">
        <v>57</v>
      </c>
      <c r="G113" s="72">
        <v>45</v>
      </c>
    </row>
    <row r="114" spans="2:7" x14ac:dyDescent="0.25">
      <c r="B114" s="64" t="s">
        <v>265</v>
      </c>
      <c r="C114" s="64" t="s">
        <v>197</v>
      </c>
      <c r="D114" s="72">
        <v>47</v>
      </c>
      <c r="E114" s="72">
        <v>33</v>
      </c>
      <c r="F114" s="72">
        <v>22</v>
      </c>
      <c r="G114" s="72">
        <v>17</v>
      </c>
    </row>
    <row r="115" spans="2:7" x14ac:dyDescent="0.25">
      <c r="B115" s="64" t="s">
        <v>266</v>
      </c>
      <c r="C115" s="64" t="s">
        <v>197</v>
      </c>
      <c r="D115" s="72">
        <v>47</v>
      </c>
      <c r="E115" s="72">
        <v>33</v>
      </c>
      <c r="F115" s="72">
        <v>22</v>
      </c>
      <c r="G115" s="72">
        <v>17</v>
      </c>
    </row>
    <row r="116" spans="2:7" x14ac:dyDescent="0.25">
      <c r="B116" s="64" t="s">
        <v>84</v>
      </c>
      <c r="C116" s="64" t="s">
        <v>197</v>
      </c>
      <c r="D116" s="72">
        <v>108</v>
      </c>
      <c r="E116" s="72">
        <v>80</v>
      </c>
      <c r="F116" s="72">
        <v>57</v>
      </c>
      <c r="G116" s="72">
        <v>45</v>
      </c>
    </row>
    <row r="117" spans="2:7" x14ac:dyDescent="0.25">
      <c r="B117" s="64" t="s">
        <v>267</v>
      </c>
      <c r="C117" s="64" t="s">
        <v>197</v>
      </c>
      <c r="D117" s="72">
        <v>47</v>
      </c>
      <c r="E117" s="72">
        <v>33</v>
      </c>
      <c r="F117" s="72">
        <v>22</v>
      </c>
      <c r="G117" s="72">
        <v>17</v>
      </c>
    </row>
    <row r="118" spans="2:7" x14ac:dyDescent="0.25">
      <c r="B118" s="64" t="s">
        <v>268</v>
      </c>
      <c r="C118" s="64" t="s">
        <v>197</v>
      </c>
      <c r="D118" s="72">
        <v>47</v>
      </c>
      <c r="E118" s="72">
        <v>33</v>
      </c>
      <c r="F118" s="72">
        <v>22</v>
      </c>
      <c r="G118" s="72">
        <v>17</v>
      </c>
    </row>
    <row r="119" spans="2:7" x14ac:dyDescent="0.25">
      <c r="B119" s="64" t="s">
        <v>85</v>
      </c>
      <c r="C119" s="64" t="s">
        <v>197</v>
      </c>
      <c r="D119" s="72">
        <v>47</v>
      </c>
      <c r="E119" s="72">
        <v>33</v>
      </c>
      <c r="F119" s="72">
        <v>22</v>
      </c>
      <c r="G119" s="72">
        <v>17</v>
      </c>
    </row>
    <row r="120" spans="2:7" x14ac:dyDescent="0.25">
      <c r="B120" s="64" t="s">
        <v>86</v>
      </c>
      <c r="C120" s="64" t="s">
        <v>197</v>
      </c>
      <c r="D120" s="72">
        <v>47</v>
      </c>
      <c r="E120" s="72">
        <v>33</v>
      </c>
      <c r="F120" s="72">
        <v>22</v>
      </c>
      <c r="G120" s="72">
        <v>17</v>
      </c>
    </row>
    <row r="121" spans="2:7" x14ac:dyDescent="0.25">
      <c r="B121" s="64" t="s">
        <v>269</v>
      </c>
      <c r="C121" s="64" t="s">
        <v>197</v>
      </c>
      <c r="D121" s="72">
        <v>47</v>
      </c>
      <c r="E121" s="72">
        <v>33</v>
      </c>
      <c r="F121" s="72">
        <v>22</v>
      </c>
      <c r="G121" s="72">
        <v>17</v>
      </c>
    </row>
    <row r="122" spans="2:7" x14ac:dyDescent="0.25">
      <c r="B122" s="64" t="s">
        <v>270</v>
      </c>
      <c r="C122" s="64" t="s">
        <v>197</v>
      </c>
      <c r="D122" s="72">
        <v>47</v>
      </c>
      <c r="E122" s="72">
        <v>33</v>
      </c>
      <c r="F122" s="72">
        <v>22</v>
      </c>
      <c r="G122" s="72">
        <v>17</v>
      </c>
    </row>
    <row r="123" spans="2:7" x14ac:dyDescent="0.25">
      <c r="B123" s="64" t="s">
        <v>271</v>
      </c>
      <c r="C123" s="64" t="s">
        <v>197</v>
      </c>
      <c r="D123" s="72">
        <v>47</v>
      </c>
      <c r="E123" s="72">
        <v>33</v>
      </c>
      <c r="F123" s="72">
        <v>22</v>
      </c>
      <c r="G123" s="72">
        <v>17</v>
      </c>
    </row>
    <row r="124" spans="2:7" x14ac:dyDescent="0.25">
      <c r="B124" s="64" t="s">
        <v>272</v>
      </c>
      <c r="C124" s="64" t="s">
        <v>197</v>
      </c>
      <c r="D124" s="72">
        <v>47</v>
      </c>
      <c r="E124" s="72">
        <v>33</v>
      </c>
      <c r="F124" s="72">
        <v>22</v>
      </c>
      <c r="G124" s="72">
        <v>17</v>
      </c>
    </row>
    <row r="125" spans="2:7" x14ac:dyDescent="0.25">
      <c r="B125" s="64" t="s">
        <v>87</v>
      </c>
      <c r="C125" s="64" t="s">
        <v>197</v>
      </c>
      <c r="D125" s="72">
        <v>108</v>
      </c>
      <c r="E125" s="72">
        <v>80</v>
      </c>
      <c r="F125" s="72">
        <v>57</v>
      </c>
      <c r="G125" s="72">
        <v>45</v>
      </c>
    </row>
    <row r="126" spans="2:7" x14ac:dyDescent="0.25">
      <c r="B126" s="64" t="s">
        <v>326</v>
      </c>
      <c r="C126" s="64" t="s">
        <v>197</v>
      </c>
      <c r="D126" s="72">
        <v>77</v>
      </c>
      <c r="E126" s="72">
        <v>57</v>
      </c>
      <c r="F126" s="72">
        <v>40</v>
      </c>
      <c r="G126" s="72">
        <v>32</v>
      </c>
    </row>
    <row r="127" spans="2:7" x14ac:dyDescent="0.25">
      <c r="B127" s="64" t="s">
        <v>88</v>
      </c>
      <c r="C127" s="64" t="s">
        <v>197</v>
      </c>
      <c r="D127" s="72">
        <v>47</v>
      </c>
      <c r="E127" s="72">
        <v>33</v>
      </c>
      <c r="F127" s="72">
        <v>22</v>
      </c>
      <c r="G127" s="72">
        <v>17</v>
      </c>
    </row>
    <row r="128" spans="2:7" x14ac:dyDescent="0.25">
      <c r="B128" s="64" t="s">
        <v>89</v>
      </c>
      <c r="C128" s="64" t="s">
        <v>197</v>
      </c>
      <c r="D128" s="72">
        <v>47</v>
      </c>
      <c r="E128" s="72">
        <v>33</v>
      </c>
      <c r="F128" s="72">
        <v>22</v>
      </c>
      <c r="G128" s="72">
        <v>17</v>
      </c>
    </row>
    <row r="129" spans="2:7" x14ac:dyDescent="0.25">
      <c r="B129" s="64" t="s">
        <v>90</v>
      </c>
      <c r="C129" s="64" t="s">
        <v>197</v>
      </c>
      <c r="D129" s="72">
        <v>108</v>
      </c>
      <c r="E129" s="72">
        <v>80</v>
      </c>
      <c r="F129" s="72">
        <v>57</v>
      </c>
      <c r="G129" s="72">
        <v>45</v>
      </c>
    </row>
    <row r="130" spans="2:7" x14ac:dyDescent="0.25">
      <c r="B130" s="64" t="s">
        <v>91</v>
      </c>
      <c r="C130" s="64" t="s">
        <v>197</v>
      </c>
      <c r="D130" s="72">
        <v>77</v>
      </c>
      <c r="E130" s="72">
        <v>57</v>
      </c>
      <c r="F130" s="72">
        <v>40</v>
      </c>
      <c r="G130" s="72">
        <v>32</v>
      </c>
    </row>
    <row r="131" spans="2:7" x14ac:dyDescent="0.25">
      <c r="B131" s="64" t="s">
        <v>273</v>
      </c>
      <c r="C131" s="64" t="s">
        <v>197</v>
      </c>
      <c r="D131" s="72">
        <v>77</v>
      </c>
      <c r="E131" s="72">
        <v>57</v>
      </c>
      <c r="F131" s="72">
        <v>40</v>
      </c>
      <c r="G131" s="72">
        <v>32</v>
      </c>
    </row>
    <row r="132" spans="2:7" x14ac:dyDescent="0.25">
      <c r="B132" s="64" t="s">
        <v>274</v>
      </c>
      <c r="C132" s="64" t="s">
        <v>197</v>
      </c>
      <c r="D132" s="72">
        <v>47</v>
      </c>
      <c r="E132" s="72">
        <v>33</v>
      </c>
      <c r="F132" s="72">
        <v>22</v>
      </c>
      <c r="G132" s="72">
        <v>17</v>
      </c>
    </row>
    <row r="133" spans="2:7" x14ac:dyDescent="0.25">
      <c r="B133" s="64" t="s">
        <v>275</v>
      </c>
      <c r="C133" s="64" t="s">
        <v>197</v>
      </c>
      <c r="D133" s="72">
        <v>77</v>
      </c>
      <c r="E133" s="72">
        <v>57</v>
      </c>
      <c r="F133" s="72">
        <v>40</v>
      </c>
      <c r="G133" s="72">
        <v>32</v>
      </c>
    </row>
    <row r="134" spans="2:7" x14ac:dyDescent="0.25">
      <c r="B134" s="64" t="s">
        <v>276</v>
      </c>
      <c r="C134" s="64" t="s">
        <v>197</v>
      </c>
      <c r="D134" s="72">
        <v>47</v>
      </c>
      <c r="E134" s="72">
        <v>33</v>
      </c>
      <c r="F134" s="72">
        <v>22</v>
      </c>
      <c r="G134" s="72">
        <v>17</v>
      </c>
    </row>
    <row r="135" spans="2:7" x14ac:dyDescent="0.25">
      <c r="B135" s="64" t="s">
        <v>92</v>
      </c>
      <c r="C135" s="64" t="s">
        <v>197</v>
      </c>
      <c r="D135" s="72">
        <v>47</v>
      </c>
      <c r="E135" s="72">
        <v>33</v>
      </c>
      <c r="F135" s="72">
        <v>22</v>
      </c>
      <c r="G135" s="72">
        <v>17</v>
      </c>
    </row>
    <row r="136" spans="2:7" x14ac:dyDescent="0.25">
      <c r="B136" s="64" t="s">
        <v>93</v>
      </c>
      <c r="C136" s="64" t="s">
        <v>197</v>
      </c>
      <c r="D136" s="72">
        <v>47</v>
      </c>
      <c r="E136" s="72">
        <v>33</v>
      </c>
      <c r="F136" s="72">
        <v>22</v>
      </c>
      <c r="G136" s="72">
        <v>17</v>
      </c>
    </row>
    <row r="137" spans="2:7" x14ac:dyDescent="0.25">
      <c r="B137" s="64" t="s">
        <v>277</v>
      </c>
      <c r="C137" s="64" t="s">
        <v>197</v>
      </c>
      <c r="D137" s="72">
        <v>47</v>
      </c>
      <c r="E137" s="72">
        <v>33</v>
      </c>
      <c r="F137" s="72">
        <v>22</v>
      </c>
      <c r="G137" s="72">
        <v>17</v>
      </c>
    </row>
    <row r="138" spans="2:7" x14ac:dyDescent="0.25">
      <c r="B138" s="64" t="s">
        <v>278</v>
      </c>
      <c r="C138" s="64" t="s">
        <v>197</v>
      </c>
      <c r="D138" s="72">
        <v>108</v>
      </c>
      <c r="E138" s="72">
        <v>80</v>
      </c>
      <c r="F138" s="72">
        <v>57</v>
      </c>
      <c r="G138" s="72">
        <v>45</v>
      </c>
    </row>
    <row r="139" spans="2:7" x14ac:dyDescent="0.25">
      <c r="B139" s="64" t="s">
        <v>279</v>
      </c>
      <c r="C139" s="64" t="s">
        <v>197</v>
      </c>
      <c r="D139" s="72">
        <v>47</v>
      </c>
      <c r="E139" s="72">
        <v>33</v>
      </c>
      <c r="F139" s="72">
        <v>22</v>
      </c>
      <c r="G139" s="72">
        <v>17</v>
      </c>
    </row>
    <row r="140" spans="2:7" x14ac:dyDescent="0.25">
      <c r="B140" s="64" t="s">
        <v>94</v>
      </c>
      <c r="C140" s="64" t="s">
        <v>197</v>
      </c>
      <c r="D140" s="72">
        <v>47</v>
      </c>
      <c r="E140" s="72">
        <v>33</v>
      </c>
      <c r="F140" s="72">
        <v>22</v>
      </c>
      <c r="G140" s="72">
        <v>17</v>
      </c>
    </row>
    <row r="141" spans="2:7" x14ac:dyDescent="0.25">
      <c r="B141" s="64" t="s">
        <v>280</v>
      </c>
      <c r="C141" s="64" t="s">
        <v>197</v>
      </c>
      <c r="D141" s="72">
        <v>47</v>
      </c>
      <c r="E141" s="72">
        <v>33</v>
      </c>
      <c r="F141" s="72">
        <v>22</v>
      </c>
      <c r="G141" s="72">
        <v>17</v>
      </c>
    </row>
    <row r="142" spans="2:7" x14ac:dyDescent="0.25">
      <c r="B142" s="64" t="s">
        <v>167</v>
      </c>
      <c r="C142" s="64" t="s">
        <v>197</v>
      </c>
      <c r="D142" s="72">
        <v>77</v>
      </c>
      <c r="E142" s="72">
        <v>57</v>
      </c>
      <c r="F142" s="72">
        <v>40</v>
      </c>
      <c r="G142" s="72">
        <v>32</v>
      </c>
    </row>
    <row r="143" spans="2:7" x14ac:dyDescent="0.25">
      <c r="B143" s="64" t="s">
        <v>95</v>
      </c>
      <c r="C143" s="64" t="s">
        <v>197</v>
      </c>
      <c r="D143" s="72">
        <v>77</v>
      </c>
      <c r="E143" s="72">
        <v>57</v>
      </c>
      <c r="F143" s="72">
        <v>40</v>
      </c>
      <c r="G143" s="72">
        <v>32</v>
      </c>
    </row>
    <row r="144" spans="2:7" x14ac:dyDescent="0.25">
      <c r="B144" s="64" t="s">
        <v>281</v>
      </c>
      <c r="C144" s="64" t="s">
        <v>197</v>
      </c>
      <c r="D144" s="72">
        <v>77</v>
      </c>
      <c r="E144" s="72">
        <v>57</v>
      </c>
      <c r="F144" s="72">
        <v>40</v>
      </c>
      <c r="G144" s="72">
        <v>32</v>
      </c>
    </row>
    <row r="145" spans="2:7" x14ac:dyDescent="0.25">
      <c r="B145" s="64" t="s">
        <v>96</v>
      </c>
      <c r="C145" s="64" t="s">
        <v>197</v>
      </c>
      <c r="D145" s="72">
        <v>77</v>
      </c>
      <c r="E145" s="72">
        <v>57</v>
      </c>
      <c r="F145" s="72">
        <v>40</v>
      </c>
      <c r="G145" s="72">
        <v>32</v>
      </c>
    </row>
    <row r="146" spans="2:7" x14ac:dyDescent="0.25">
      <c r="B146" s="64" t="s">
        <v>135</v>
      </c>
      <c r="C146" s="64" t="s">
        <v>197</v>
      </c>
      <c r="D146" s="72">
        <v>108</v>
      </c>
      <c r="E146" s="72">
        <v>80</v>
      </c>
      <c r="F146" s="72">
        <v>57</v>
      </c>
      <c r="G146" s="72">
        <v>45</v>
      </c>
    </row>
    <row r="147" spans="2:7" x14ac:dyDescent="0.25">
      <c r="B147" s="64" t="s">
        <v>97</v>
      </c>
      <c r="C147" s="64" t="s">
        <v>197</v>
      </c>
      <c r="D147" s="72">
        <v>47</v>
      </c>
      <c r="E147" s="72">
        <v>33</v>
      </c>
      <c r="F147" s="72">
        <v>22</v>
      </c>
      <c r="G147" s="72">
        <v>17</v>
      </c>
    </row>
    <row r="148" spans="2:7" x14ac:dyDescent="0.25">
      <c r="B148" s="64" t="s">
        <v>181</v>
      </c>
      <c r="C148" s="64" t="s">
        <v>197</v>
      </c>
      <c r="D148" s="72">
        <v>77</v>
      </c>
      <c r="E148" s="72">
        <v>57</v>
      </c>
      <c r="F148" s="72">
        <v>40</v>
      </c>
      <c r="G148" s="72">
        <v>32</v>
      </c>
    </row>
    <row r="149" spans="2:7" x14ac:dyDescent="0.25">
      <c r="B149" s="64" t="s">
        <v>282</v>
      </c>
      <c r="C149" s="64" t="s">
        <v>197</v>
      </c>
      <c r="D149" s="72">
        <v>47</v>
      </c>
      <c r="E149" s="72">
        <v>33</v>
      </c>
      <c r="F149" s="72">
        <v>22</v>
      </c>
      <c r="G149" s="72">
        <v>17</v>
      </c>
    </row>
    <row r="150" spans="2:7" x14ac:dyDescent="0.25">
      <c r="B150" s="64" t="s">
        <v>283</v>
      </c>
      <c r="C150" s="64" t="s">
        <v>197</v>
      </c>
      <c r="D150" s="72">
        <v>108</v>
      </c>
      <c r="E150" s="72">
        <v>80</v>
      </c>
      <c r="F150" s="72">
        <v>57</v>
      </c>
      <c r="G150" s="72">
        <v>45</v>
      </c>
    </row>
    <row r="151" spans="2:7" x14ac:dyDescent="0.25">
      <c r="B151" s="64" t="s">
        <v>317</v>
      </c>
      <c r="C151" s="64" t="s">
        <v>197</v>
      </c>
      <c r="D151" s="72">
        <v>108</v>
      </c>
      <c r="E151" s="72">
        <v>80</v>
      </c>
      <c r="F151" s="72">
        <v>57</v>
      </c>
      <c r="G151" s="72">
        <v>45</v>
      </c>
    </row>
    <row r="152" spans="2:7" x14ac:dyDescent="0.25">
      <c r="B152" s="64" t="s">
        <v>284</v>
      </c>
      <c r="C152" s="64" t="s">
        <v>197</v>
      </c>
      <c r="D152" s="72">
        <v>108</v>
      </c>
      <c r="E152" s="72">
        <v>80</v>
      </c>
      <c r="F152" s="72">
        <v>57</v>
      </c>
      <c r="G152" s="72">
        <v>45</v>
      </c>
    </row>
    <row r="153" spans="2:7" x14ac:dyDescent="0.25">
      <c r="B153" s="64" t="s">
        <v>285</v>
      </c>
      <c r="C153" s="64" t="s">
        <v>197</v>
      </c>
      <c r="D153" s="72">
        <v>47</v>
      </c>
      <c r="E153" s="72">
        <v>33</v>
      </c>
      <c r="F153" s="72">
        <v>22</v>
      </c>
      <c r="G153" s="72">
        <v>17</v>
      </c>
    </row>
    <row r="154" spans="2:7" x14ac:dyDescent="0.25">
      <c r="B154" s="64" t="s">
        <v>286</v>
      </c>
      <c r="C154" s="64" t="s">
        <v>197</v>
      </c>
      <c r="D154" s="72">
        <v>108</v>
      </c>
      <c r="E154" s="72">
        <v>80</v>
      </c>
      <c r="F154" s="72">
        <v>57</v>
      </c>
      <c r="G154" s="72">
        <v>45</v>
      </c>
    </row>
    <row r="155" spans="2:7" x14ac:dyDescent="0.25">
      <c r="B155" s="64" t="s">
        <v>287</v>
      </c>
      <c r="C155" s="64" t="s">
        <v>197</v>
      </c>
      <c r="D155" s="72">
        <v>77</v>
      </c>
      <c r="E155" s="72">
        <v>57</v>
      </c>
      <c r="F155" s="72">
        <v>40</v>
      </c>
      <c r="G155" s="72">
        <v>32</v>
      </c>
    </row>
    <row r="156" spans="2:7" x14ac:dyDescent="0.25">
      <c r="B156" s="64" t="s">
        <v>288</v>
      </c>
      <c r="C156" s="64" t="s">
        <v>197</v>
      </c>
      <c r="D156" s="72">
        <v>108</v>
      </c>
      <c r="E156" s="72">
        <v>80</v>
      </c>
      <c r="F156" s="72">
        <v>57</v>
      </c>
      <c r="G156" s="72">
        <v>45</v>
      </c>
    </row>
    <row r="157" spans="2:7" x14ac:dyDescent="0.25">
      <c r="B157" s="64" t="s">
        <v>289</v>
      </c>
      <c r="C157" s="64" t="s">
        <v>197</v>
      </c>
      <c r="D157" s="72">
        <v>47</v>
      </c>
      <c r="E157" s="72">
        <v>33</v>
      </c>
      <c r="F157" s="72">
        <v>22</v>
      </c>
      <c r="G157" s="72">
        <v>17</v>
      </c>
    </row>
    <row r="158" spans="2:7" x14ac:dyDescent="0.25">
      <c r="B158" s="64" t="s">
        <v>322</v>
      </c>
      <c r="C158" s="64" t="s">
        <v>197</v>
      </c>
      <c r="D158" s="72">
        <v>47</v>
      </c>
      <c r="E158" s="72">
        <v>33</v>
      </c>
      <c r="F158" s="72">
        <v>22</v>
      </c>
      <c r="G158" s="72">
        <v>17</v>
      </c>
    </row>
    <row r="159" spans="2:7" x14ac:dyDescent="0.25">
      <c r="B159" s="64" t="s">
        <v>290</v>
      </c>
      <c r="C159" s="64" t="s">
        <v>197</v>
      </c>
      <c r="D159" s="72">
        <v>47</v>
      </c>
      <c r="E159" s="72">
        <v>33</v>
      </c>
      <c r="F159" s="72">
        <v>22</v>
      </c>
      <c r="G159" s="72">
        <v>17</v>
      </c>
    </row>
    <row r="160" spans="2:7" x14ac:dyDescent="0.25">
      <c r="B160" s="64" t="s">
        <v>99</v>
      </c>
      <c r="C160" s="64" t="s">
        <v>197</v>
      </c>
      <c r="D160" s="72">
        <v>77</v>
      </c>
      <c r="E160" s="72">
        <v>57</v>
      </c>
      <c r="F160" s="72">
        <v>40</v>
      </c>
      <c r="G160" s="72">
        <v>32</v>
      </c>
    </row>
    <row r="161" spans="2:7" x14ac:dyDescent="0.25">
      <c r="B161" s="64" t="s">
        <v>291</v>
      </c>
      <c r="C161" s="64" t="s">
        <v>197</v>
      </c>
      <c r="D161" s="72">
        <v>47</v>
      </c>
      <c r="E161" s="72">
        <v>33</v>
      </c>
      <c r="F161" s="72">
        <v>22</v>
      </c>
      <c r="G161" s="72">
        <v>17</v>
      </c>
    </row>
    <row r="162" spans="2:7" x14ac:dyDescent="0.25">
      <c r="B162" s="64" t="s">
        <v>309</v>
      </c>
      <c r="C162" s="64" t="s">
        <v>197</v>
      </c>
      <c r="D162" s="72">
        <v>47</v>
      </c>
      <c r="E162" s="72">
        <v>33</v>
      </c>
      <c r="F162" s="72">
        <v>22</v>
      </c>
      <c r="G162" s="72">
        <v>17</v>
      </c>
    </row>
    <row r="163" spans="2:7" x14ac:dyDescent="0.25">
      <c r="B163" s="64" t="s">
        <v>292</v>
      </c>
      <c r="C163" s="64" t="s">
        <v>197</v>
      </c>
      <c r="D163" s="72">
        <v>47</v>
      </c>
      <c r="E163" s="72">
        <v>33</v>
      </c>
      <c r="F163" s="72">
        <v>22</v>
      </c>
      <c r="G163" s="72">
        <v>17</v>
      </c>
    </row>
    <row r="164" spans="2:7" x14ac:dyDescent="0.25">
      <c r="B164" s="64" t="s">
        <v>323</v>
      </c>
      <c r="C164" s="64" t="s">
        <v>197</v>
      </c>
      <c r="D164" s="72">
        <v>77</v>
      </c>
      <c r="E164" s="72">
        <v>57</v>
      </c>
      <c r="F164" s="72">
        <v>40</v>
      </c>
      <c r="G164" s="72">
        <v>32</v>
      </c>
    </row>
    <row r="165" spans="2:7" x14ac:dyDescent="0.25">
      <c r="B165" s="64" t="s">
        <v>353</v>
      </c>
      <c r="C165" s="64" t="s">
        <v>197</v>
      </c>
      <c r="D165" s="72">
        <v>77</v>
      </c>
      <c r="E165" s="72">
        <v>57</v>
      </c>
      <c r="F165" s="72">
        <v>40</v>
      </c>
      <c r="G165" s="72">
        <v>32</v>
      </c>
    </row>
    <row r="166" spans="2:7" x14ac:dyDescent="0.25">
      <c r="B166" s="64" t="s">
        <v>100</v>
      </c>
      <c r="C166" s="64" t="s">
        <v>197</v>
      </c>
      <c r="D166" s="72">
        <v>47</v>
      </c>
      <c r="E166" s="72">
        <v>33</v>
      </c>
      <c r="F166" s="72">
        <v>22</v>
      </c>
      <c r="G166" s="72">
        <v>17</v>
      </c>
    </row>
    <row r="167" spans="2:7" x14ac:dyDescent="0.25">
      <c r="B167" s="64" t="s">
        <v>101</v>
      </c>
      <c r="C167" s="64" t="s">
        <v>197</v>
      </c>
      <c r="D167" s="72">
        <v>47</v>
      </c>
      <c r="E167" s="72">
        <v>33</v>
      </c>
      <c r="F167" s="72">
        <v>22</v>
      </c>
      <c r="G167" s="72">
        <v>17</v>
      </c>
    </row>
    <row r="168" spans="2:7" x14ac:dyDescent="0.25">
      <c r="B168" s="64" t="s">
        <v>293</v>
      </c>
      <c r="C168" s="64" t="s">
        <v>197</v>
      </c>
      <c r="D168" s="72">
        <v>47</v>
      </c>
      <c r="E168" s="72">
        <v>33</v>
      </c>
      <c r="F168" s="72">
        <v>22</v>
      </c>
      <c r="G168" s="72">
        <v>17</v>
      </c>
    </row>
    <row r="169" spans="2:7" x14ac:dyDescent="0.25">
      <c r="B169" s="64" t="s">
        <v>102</v>
      </c>
      <c r="C169" s="64" t="s">
        <v>197</v>
      </c>
      <c r="D169" s="72">
        <v>108</v>
      </c>
      <c r="E169" s="72">
        <v>80</v>
      </c>
      <c r="F169" s="72">
        <v>57</v>
      </c>
      <c r="G169" s="72">
        <v>45</v>
      </c>
    </row>
    <row r="170" spans="2:7" x14ac:dyDescent="0.25">
      <c r="B170" s="64" t="s">
        <v>327</v>
      </c>
      <c r="C170" s="64" t="s">
        <v>197</v>
      </c>
      <c r="D170" s="72">
        <v>47</v>
      </c>
      <c r="E170" s="72">
        <v>33</v>
      </c>
      <c r="F170" s="72">
        <v>22</v>
      </c>
      <c r="G170" s="72">
        <v>17</v>
      </c>
    </row>
    <row r="171" spans="2:7" x14ac:dyDescent="0.25">
      <c r="B171" s="64" t="s">
        <v>294</v>
      </c>
      <c r="C171" s="64" t="s">
        <v>197</v>
      </c>
      <c r="D171" s="72">
        <v>47</v>
      </c>
      <c r="E171" s="72">
        <v>33</v>
      </c>
      <c r="F171" s="72">
        <v>22</v>
      </c>
      <c r="G171" s="72">
        <v>17</v>
      </c>
    </row>
    <row r="172" spans="2:7" x14ac:dyDescent="0.25">
      <c r="B172" s="64" t="s">
        <v>295</v>
      </c>
      <c r="C172" s="64" t="s">
        <v>197</v>
      </c>
      <c r="D172" s="72">
        <v>47</v>
      </c>
      <c r="E172" s="72">
        <v>33</v>
      </c>
      <c r="F172" s="72">
        <v>22</v>
      </c>
      <c r="G172" s="72">
        <v>17</v>
      </c>
    </row>
    <row r="173" spans="2:7" x14ac:dyDescent="0.25">
      <c r="B173" s="64" t="s">
        <v>296</v>
      </c>
      <c r="C173" s="64" t="s">
        <v>197</v>
      </c>
      <c r="D173" s="72">
        <v>77</v>
      </c>
      <c r="E173" s="72">
        <v>57</v>
      </c>
      <c r="F173" s="72">
        <v>40</v>
      </c>
      <c r="G173" s="72">
        <v>32</v>
      </c>
    </row>
    <row r="174" spans="2:7" x14ac:dyDescent="0.25">
      <c r="B174" s="64" t="s">
        <v>103</v>
      </c>
      <c r="C174" s="64" t="s">
        <v>197</v>
      </c>
      <c r="D174" s="72">
        <v>47</v>
      </c>
      <c r="E174" s="72">
        <v>33</v>
      </c>
      <c r="F174" s="72">
        <v>22</v>
      </c>
      <c r="G174" s="72">
        <v>17</v>
      </c>
    </row>
    <row r="175" spans="2:7" x14ac:dyDescent="0.25">
      <c r="B175" s="64" t="s">
        <v>104</v>
      </c>
      <c r="C175" s="64" t="s">
        <v>197</v>
      </c>
      <c r="D175" s="72">
        <v>47</v>
      </c>
      <c r="E175" s="72">
        <v>33</v>
      </c>
      <c r="F175" s="72">
        <v>22</v>
      </c>
      <c r="G175" s="72">
        <v>17</v>
      </c>
    </row>
    <row r="176" spans="2:7" x14ac:dyDescent="0.25">
      <c r="B176" s="64" t="s">
        <v>297</v>
      </c>
      <c r="C176" s="64" t="s">
        <v>197</v>
      </c>
      <c r="D176" s="72">
        <v>47</v>
      </c>
      <c r="E176" s="72">
        <v>33</v>
      </c>
      <c r="F176" s="72">
        <v>22</v>
      </c>
      <c r="G176" s="72">
        <v>17</v>
      </c>
    </row>
    <row r="177" spans="2:7" x14ac:dyDescent="0.25">
      <c r="B177" s="64" t="s">
        <v>298</v>
      </c>
      <c r="C177" s="64" t="s">
        <v>197</v>
      </c>
      <c r="D177" s="72">
        <v>47</v>
      </c>
      <c r="E177" s="72">
        <v>33</v>
      </c>
      <c r="F177" s="72">
        <v>22</v>
      </c>
      <c r="G177" s="72">
        <v>17</v>
      </c>
    </row>
    <row r="178" spans="2:7" x14ac:dyDescent="0.25">
      <c r="B178" s="64" t="s">
        <v>180</v>
      </c>
      <c r="C178" s="64" t="s">
        <v>197</v>
      </c>
      <c r="D178" s="72">
        <v>108</v>
      </c>
      <c r="E178" s="72">
        <v>80</v>
      </c>
      <c r="F178" s="72">
        <v>57</v>
      </c>
      <c r="G178" s="72">
        <v>45</v>
      </c>
    </row>
    <row r="179" spans="2:7" x14ac:dyDescent="0.25">
      <c r="B179" s="64" t="s">
        <v>350</v>
      </c>
      <c r="C179" s="64" t="s">
        <v>197</v>
      </c>
      <c r="D179" s="72">
        <v>108</v>
      </c>
      <c r="E179" s="72">
        <v>80</v>
      </c>
      <c r="F179" s="72">
        <v>57</v>
      </c>
      <c r="G179" s="72">
        <v>45</v>
      </c>
    </row>
    <row r="180" spans="2:7" x14ac:dyDescent="0.25">
      <c r="B180" s="64" t="s">
        <v>105</v>
      </c>
      <c r="C180" s="64" t="s">
        <v>197</v>
      </c>
      <c r="D180" s="72">
        <v>47</v>
      </c>
      <c r="E180" s="72">
        <v>33</v>
      </c>
      <c r="F180" s="72">
        <v>22</v>
      </c>
      <c r="G180" s="72">
        <v>17</v>
      </c>
    </row>
    <row r="181" spans="2:7" x14ac:dyDescent="0.25">
      <c r="B181" s="64" t="s">
        <v>299</v>
      </c>
      <c r="C181" s="64" t="s">
        <v>197</v>
      </c>
      <c r="D181" s="72">
        <v>77</v>
      </c>
      <c r="E181" s="72">
        <v>57</v>
      </c>
      <c r="F181" s="72">
        <v>40</v>
      </c>
      <c r="G181" s="72">
        <v>32</v>
      </c>
    </row>
    <row r="182" spans="2:7" x14ac:dyDescent="0.25">
      <c r="B182" s="64" t="s">
        <v>106</v>
      </c>
      <c r="C182" s="64" t="s">
        <v>197</v>
      </c>
      <c r="D182" s="72">
        <v>108</v>
      </c>
      <c r="E182" s="72">
        <v>80</v>
      </c>
      <c r="F182" s="72">
        <v>57</v>
      </c>
      <c r="G182" s="72">
        <v>45</v>
      </c>
    </row>
    <row r="183" spans="2:7" x14ac:dyDescent="0.25">
      <c r="B183" s="64" t="s">
        <v>107</v>
      </c>
      <c r="C183" s="64" t="s">
        <v>197</v>
      </c>
      <c r="D183" s="72">
        <v>47</v>
      </c>
      <c r="E183" s="72">
        <v>33</v>
      </c>
      <c r="F183" s="72">
        <v>22</v>
      </c>
      <c r="G183" s="72">
        <v>17</v>
      </c>
    </row>
    <row r="184" spans="2:7" x14ac:dyDescent="0.25">
      <c r="B184" s="64" t="s">
        <v>108</v>
      </c>
      <c r="C184" s="64" t="s">
        <v>197</v>
      </c>
      <c r="D184" s="72">
        <v>47</v>
      </c>
      <c r="E184" s="72">
        <v>33</v>
      </c>
      <c r="F184" s="72">
        <v>22</v>
      </c>
      <c r="G184" s="72">
        <v>17</v>
      </c>
    </row>
    <row r="185" spans="2:7" x14ac:dyDescent="0.25">
      <c r="B185" s="64" t="s">
        <v>300</v>
      </c>
      <c r="C185" s="64" t="s">
        <v>197</v>
      </c>
      <c r="D185" s="72">
        <v>108</v>
      </c>
      <c r="E185" s="72">
        <v>80</v>
      </c>
      <c r="F185" s="72">
        <v>57</v>
      </c>
      <c r="G185" s="72">
        <v>45</v>
      </c>
    </row>
    <row r="186" spans="2:7" x14ac:dyDescent="0.25">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2023-06-26T08:43:29Z</dcterms:modified>
</cp:coreProperties>
</file>