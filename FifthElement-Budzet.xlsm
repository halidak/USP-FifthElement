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301682D2-478C-4A88-8B0C-EF690C205BBE}"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23256" windowHeight="12576" tabRatio="684" firstSheet="3" activeTab="7"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Stay'!$A$1:$S$56</definedName>
    <definedName name="_xlnm.Print_Area" localSheetId="2">'1. Staff costs'!$A$1:$U$63</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Stay'!$56:$1048576,' 2-3-6. Travel&amp;Costs of Stay'!#REF!</definedName>
    <definedName name="Z_D7932BCF_3472_4742_BE90_75070A4D3346_.wvu.Rows" localSheetId="2" hidden="1">'1. Staff costs'!$63:$1048576,'1.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5" i="39" l="1"/>
  <c r="E55" i="39"/>
  <c r="D55" i="39"/>
  <c r="R55" i="39" s="1"/>
  <c r="P55" i="39" s="1"/>
  <c r="N54" i="39"/>
  <c r="E54" i="39"/>
  <c r="D54" i="39"/>
  <c r="R54" i="39" s="1"/>
  <c r="P54" i="39" s="1"/>
  <c r="N53" i="39"/>
  <c r="E53" i="39"/>
  <c r="D53" i="39"/>
  <c r="R53" i="39" s="1"/>
  <c r="P53" i="39" s="1"/>
  <c r="N52" i="39"/>
  <c r="E52" i="39"/>
  <c r="D52" i="39"/>
  <c r="R52" i="39" s="1"/>
  <c r="P52" i="39" s="1"/>
  <c r="N51" i="39"/>
  <c r="E51" i="39"/>
  <c r="D51" i="39"/>
  <c r="N50" i="39"/>
  <c r="E50" i="39"/>
  <c r="D50" i="39"/>
  <c r="N49" i="39"/>
  <c r="E49" i="39"/>
  <c r="D49" i="39"/>
  <c r="N48" i="39"/>
  <c r="E48" i="39"/>
  <c r="D48" i="39"/>
  <c r="N47" i="39"/>
  <c r="E47" i="39"/>
  <c r="D47" i="39"/>
  <c r="N46" i="39"/>
  <c r="E46" i="39"/>
  <c r="D46" i="39"/>
  <c r="N45" i="39"/>
  <c r="E45" i="39"/>
  <c r="D45" i="39"/>
  <c r="N44" i="39"/>
  <c r="E44" i="39"/>
  <c r="D44" i="39"/>
  <c r="N43" i="39"/>
  <c r="E43" i="39"/>
  <c r="D43" i="39"/>
  <c r="N42" i="39"/>
  <c r="E42" i="39"/>
  <c r="D42" i="39"/>
  <c r="N41" i="39"/>
  <c r="E41" i="39"/>
  <c r="D41" i="39"/>
  <c r="N40" i="39"/>
  <c r="E40" i="39"/>
  <c r="D40" i="39"/>
  <c r="N39" i="39"/>
  <c r="E39" i="39"/>
  <c r="D39" i="39"/>
  <c r="N38" i="39"/>
  <c r="E38" i="39"/>
  <c r="D38" i="39"/>
  <c r="N37" i="39"/>
  <c r="E37" i="39"/>
  <c r="D37" i="39"/>
  <c r="N36" i="39"/>
  <c r="E36" i="39"/>
  <c r="D36" i="39"/>
  <c r="N35" i="39"/>
  <c r="E35" i="39"/>
  <c r="D35" i="39"/>
  <c r="N34" i="39"/>
  <c r="E34" i="39"/>
  <c r="D34" i="39"/>
  <c r="N33" i="39"/>
  <c r="E33" i="39"/>
  <c r="D33" i="39"/>
  <c r="N32" i="39"/>
  <c r="E32" i="39"/>
  <c r="D32" i="39"/>
  <c r="N31" i="39"/>
  <c r="E31" i="39"/>
  <c r="D31" i="39"/>
  <c r="N30" i="39"/>
  <c r="E30" i="39"/>
  <c r="D30" i="39"/>
  <c r="N29" i="39"/>
  <c r="E29" i="39"/>
  <c r="D29" i="39"/>
  <c r="N28" i="39"/>
  <c r="E28" i="39"/>
  <c r="D28" i="39"/>
  <c r="N27" i="39"/>
  <c r="E27" i="39"/>
  <c r="D27" i="39"/>
  <c r="N26" i="39"/>
  <c r="E26" i="39"/>
  <c r="D26" i="39"/>
  <c r="N25" i="39"/>
  <c r="E25" i="39"/>
  <c r="D25" i="39"/>
  <c r="N24" i="39"/>
  <c r="E24" i="39"/>
  <c r="D24" i="39"/>
  <c r="N23" i="39"/>
  <c r="E23" i="39"/>
  <c r="D23" i="39"/>
  <c r="N22" i="39"/>
  <c r="E22" i="39"/>
  <c r="D22" i="39"/>
  <c r="N21" i="39"/>
  <c r="E21" i="39"/>
  <c r="D21" i="39"/>
  <c r="N20" i="39"/>
  <c r="E20" i="39"/>
  <c r="D20" i="39"/>
  <c r="N19" i="39"/>
  <c r="E19" i="39"/>
  <c r="D19" i="39"/>
  <c r="N18" i="39"/>
  <c r="E18" i="39"/>
  <c r="D18" i="39"/>
  <c r="N17" i="39"/>
  <c r="E17" i="39"/>
  <c r="D17" i="39"/>
  <c r="N16" i="39"/>
  <c r="E16" i="39"/>
  <c r="D16" i="39"/>
  <c r="N15" i="39"/>
  <c r="E15" i="39"/>
  <c r="D15" i="39"/>
  <c r="D16" i="71"/>
  <c r="C16" i="71"/>
  <c r="D15" i="71"/>
  <c r="C15" i="71"/>
  <c r="J15" i="71" s="1"/>
  <c r="I15" i="71" s="1"/>
  <c r="E17" i="70"/>
  <c r="D17" i="70"/>
  <c r="I17" i="70" s="1"/>
  <c r="H17" i="70" s="1"/>
  <c r="E16" i="70"/>
  <c r="D16" i="70"/>
  <c r="I16" i="70" s="1"/>
  <c r="H16" i="70" s="1"/>
  <c r="E15" i="70"/>
  <c r="D15" i="70"/>
  <c r="E16" i="26"/>
  <c r="D16" i="26"/>
  <c r="I16" i="26" s="1"/>
  <c r="H16" i="26" s="1"/>
  <c r="E15" i="26"/>
  <c r="D15" i="26"/>
  <c r="I15" i="26" s="1"/>
  <c r="H15" i="26" s="1"/>
  <c r="E23" i="40"/>
  <c r="D23" i="40"/>
  <c r="T23" i="40" s="1"/>
  <c r="E62" i="40"/>
  <c r="D62" i="40"/>
  <c r="E61" i="40"/>
  <c r="D61" i="40"/>
  <c r="T61" i="40" s="1"/>
  <c r="E60" i="40"/>
  <c r="D60" i="40"/>
  <c r="T60" i="40" s="1"/>
  <c r="E59" i="40"/>
  <c r="D59" i="40"/>
  <c r="T59" i="40" s="1"/>
  <c r="E58" i="40"/>
  <c r="D58" i="40"/>
  <c r="E57" i="40"/>
  <c r="D57" i="40"/>
  <c r="T57" i="40" s="1"/>
  <c r="E56" i="40"/>
  <c r="D56" i="40"/>
  <c r="T56" i="40" s="1"/>
  <c r="E55" i="40"/>
  <c r="D55" i="40"/>
  <c r="E54" i="40"/>
  <c r="D54" i="40"/>
  <c r="E53" i="40"/>
  <c r="D53" i="40"/>
  <c r="T53" i="40" s="1"/>
  <c r="E52" i="40"/>
  <c r="D52" i="40"/>
  <c r="T52" i="40" s="1"/>
  <c r="E51" i="40"/>
  <c r="D51" i="40"/>
  <c r="E50" i="40"/>
  <c r="D50" i="40"/>
  <c r="E49" i="40"/>
  <c r="D49" i="40"/>
  <c r="T49" i="40" s="1"/>
  <c r="E48" i="40"/>
  <c r="D48" i="40"/>
  <c r="T48" i="40" s="1"/>
  <c r="E47" i="40"/>
  <c r="D47" i="40"/>
  <c r="E46" i="40"/>
  <c r="D46" i="40"/>
  <c r="E45" i="40"/>
  <c r="D45" i="40"/>
  <c r="T45" i="40" s="1"/>
  <c r="E44" i="40"/>
  <c r="D44" i="40"/>
  <c r="E43" i="40"/>
  <c r="D43" i="40"/>
  <c r="T43" i="40" s="1"/>
  <c r="E42" i="40"/>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T34" i="40" s="1"/>
  <c r="E33" i="40"/>
  <c r="D33" i="40"/>
  <c r="T33" i="40" s="1"/>
  <c r="D32" i="40"/>
  <c r="E31" i="40"/>
  <c r="D31" i="40"/>
  <c r="T31" i="40" s="1"/>
  <c r="E30" i="40"/>
  <c r="D30" i="40"/>
  <c r="T30" i="40" s="1"/>
  <c r="E29" i="40"/>
  <c r="D29" i="40"/>
  <c r="T29" i="40" s="1"/>
  <c r="E28" i="40"/>
  <c r="D28" i="40"/>
  <c r="T28" i="40" s="1"/>
  <c r="E27" i="40"/>
  <c r="D27" i="40"/>
  <c r="T27" i="40" s="1"/>
  <c r="E26" i="40"/>
  <c r="D26" i="40"/>
  <c r="T26" i="40" s="1"/>
  <c r="E25" i="40"/>
  <c r="D25" i="40"/>
  <c r="E24" i="40"/>
  <c r="D24" i="40"/>
  <c r="T24" i="40" s="1"/>
  <c r="E22" i="40"/>
  <c r="D22" i="40"/>
  <c r="T22" i="40" s="1"/>
  <c r="E21" i="40"/>
  <c r="D21" i="40"/>
  <c r="T21" i="40" s="1"/>
  <c r="E20" i="40"/>
  <c r="D20" i="40"/>
  <c r="E19" i="40"/>
  <c r="D19" i="40"/>
  <c r="T19" i="40" s="1"/>
  <c r="E18" i="40"/>
  <c r="D18" i="40"/>
  <c r="T18" i="40" s="1"/>
  <c r="E17" i="40"/>
  <c r="D17" i="40"/>
  <c r="T17" i="40" s="1"/>
  <c r="E16" i="40"/>
  <c r="D16" i="40"/>
  <c r="E15" i="40"/>
  <c r="D15" i="40"/>
  <c r="T15" i="40" s="1"/>
  <c r="N13" i="39"/>
  <c r="N14" i="39"/>
  <c r="O55" i="39" l="1"/>
  <c r="Q55" i="39" s="1"/>
  <c r="R48" i="39"/>
  <c r="P48" i="39" s="1"/>
  <c r="R51" i="39"/>
  <c r="P51" i="39" s="1"/>
  <c r="O54" i="39"/>
  <c r="Q54" i="39" s="1"/>
  <c r="R50" i="39"/>
  <c r="P50" i="39" s="1"/>
  <c r="O53" i="39"/>
  <c r="Q53" i="39" s="1"/>
  <c r="O52" i="39"/>
  <c r="Q52" i="39" s="1"/>
  <c r="R47" i="39"/>
  <c r="P47" i="39" s="1"/>
  <c r="R49" i="39"/>
  <c r="O49" i="39" s="1"/>
  <c r="G37" i="41" s="1"/>
  <c r="O51" i="39"/>
  <c r="Q51" i="39" s="1"/>
  <c r="R46" i="39"/>
  <c r="P46" i="39" s="1"/>
  <c r="R45" i="39"/>
  <c r="P45" i="39" s="1"/>
  <c r="O50" i="39"/>
  <c r="Q50" i="39" s="1"/>
  <c r="R44" i="39"/>
  <c r="P44" i="39" s="1"/>
  <c r="R25" i="39"/>
  <c r="P25" i="39" s="1"/>
  <c r="R43" i="39"/>
  <c r="P43" i="39" s="1"/>
  <c r="R41" i="39"/>
  <c r="P41" i="39" s="1"/>
  <c r="R42" i="39"/>
  <c r="P42" i="39" s="1"/>
  <c r="R40" i="39"/>
  <c r="P40" i="39" s="1"/>
  <c r="R38" i="39"/>
  <c r="P38" i="39" s="1"/>
  <c r="R39" i="39"/>
  <c r="P39" i="39" s="1"/>
  <c r="R33" i="39"/>
  <c r="P33" i="39" s="1"/>
  <c r="R36" i="39"/>
  <c r="P36" i="39" s="1"/>
  <c r="R37" i="39"/>
  <c r="P37" i="39" s="1"/>
  <c r="R16" i="39"/>
  <c r="P16" i="39" s="1"/>
  <c r="R35" i="39"/>
  <c r="P35" i="39" s="1"/>
  <c r="R34" i="39"/>
  <c r="P34" i="39" s="1"/>
  <c r="R32" i="39"/>
  <c r="P32" i="39" s="1"/>
  <c r="R28" i="39"/>
  <c r="P28" i="39" s="1"/>
  <c r="R30" i="39"/>
  <c r="P30" i="39" s="1"/>
  <c r="R27" i="39"/>
  <c r="P27" i="39" s="1"/>
  <c r="R31" i="39"/>
  <c r="P31" i="39" s="1"/>
  <c r="R21" i="39"/>
  <c r="P21" i="39" s="1"/>
  <c r="R24" i="39"/>
  <c r="P24" i="39" s="1"/>
  <c r="R29" i="39"/>
  <c r="P29" i="39" s="1"/>
  <c r="R26" i="39"/>
  <c r="P26" i="39" s="1"/>
  <c r="R15" i="39"/>
  <c r="P15" i="39" s="1"/>
  <c r="R23" i="39"/>
  <c r="P23" i="39" s="1"/>
  <c r="R22" i="39"/>
  <c r="P22" i="39" s="1"/>
  <c r="R19" i="39"/>
  <c r="P19" i="39" s="1"/>
  <c r="R18" i="39"/>
  <c r="P18" i="39" s="1"/>
  <c r="R20" i="39"/>
  <c r="P20" i="39" s="1"/>
  <c r="R17" i="39"/>
  <c r="P17" i="39" s="1"/>
  <c r="T46" i="40"/>
  <c r="R46" i="40" s="1"/>
  <c r="T50" i="40"/>
  <c r="T58" i="40"/>
  <c r="T62" i="40"/>
  <c r="I15" i="70"/>
  <c r="H15" i="70" s="1"/>
  <c r="J16" i="71"/>
  <c r="I16" i="71" s="1"/>
  <c r="J23" i="40"/>
  <c r="K23" i="40" s="1"/>
  <c r="G23" i="40"/>
  <c r="H23" i="40" s="1"/>
  <c r="P23" i="40"/>
  <c r="Q23" i="40" s="1"/>
  <c r="M23" i="40"/>
  <c r="N23" i="40" s="1"/>
  <c r="R23" i="40"/>
  <c r="R62" i="40"/>
  <c r="R61" i="40"/>
  <c r="R60" i="40"/>
  <c r="R59" i="40"/>
  <c r="T47" i="40"/>
  <c r="R47" i="40" s="1"/>
  <c r="T51" i="40"/>
  <c r="R51" i="40" s="1"/>
  <c r="T55" i="40"/>
  <c r="R55" i="40" s="1"/>
  <c r="R58" i="40"/>
  <c r="R57" i="40"/>
  <c r="T54" i="40"/>
  <c r="R54" i="40" s="1"/>
  <c r="R56" i="40"/>
  <c r="R53" i="40"/>
  <c r="R52" i="40"/>
  <c r="R50" i="40"/>
  <c r="R49" i="40"/>
  <c r="R48" i="40"/>
  <c r="T44" i="40"/>
  <c r="R44" i="40" s="1"/>
  <c r="R45" i="40"/>
  <c r="R43" i="40"/>
  <c r="R42" i="40"/>
  <c r="R41" i="40"/>
  <c r="R40" i="40"/>
  <c r="R39" i="40"/>
  <c r="R38" i="40"/>
  <c r="R37" i="40"/>
  <c r="R36" i="40"/>
  <c r="R35" i="40"/>
  <c r="R34" i="40"/>
  <c r="R33" i="40"/>
  <c r="R31" i="40"/>
  <c r="R30" i="40"/>
  <c r="R29" i="40"/>
  <c r="R28" i="40"/>
  <c r="T16" i="40"/>
  <c r="R16" i="40" s="1"/>
  <c r="T20" i="40"/>
  <c r="R20" i="40" s="1"/>
  <c r="T25" i="40"/>
  <c r="R25" i="40" s="1"/>
  <c r="R27" i="40"/>
  <c r="R26" i="40"/>
  <c r="R24" i="40"/>
  <c r="R22" i="40"/>
  <c r="R21" i="40"/>
  <c r="R19" i="40"/>
  <c r="R18" i="40"/>
  <c r="R17" i="40"/>
  <c r="R15" i="40"/>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O48" i="39" l="1"/>
  <c r="Q48" i="39" s="1"/>
  <c r="P49" i="39"/>
  <c r="Q49" i="39" s="1"/>
  <c r="O47" i="39"/>
  <c r="Q47" i="39" s="1"/>
  <c r="O25" i="39"/>
  <c r="Q25" i="39" s="1"/>
  <c r="O45" i="39"/>
  <c r="Q45" i="39" s="1"/>
  <c r="O46" i="39"/>
  <c r="Q46" i="39" s="1"/>
  <c r="O44" i="39"/>
  <c r="Q44" i="39" s="1"/>
  <c r="O41" i="39"/>
  <c r="Q41" i="39" s="1"/>
  <c r="O43" i="39"/>
  <c r="Q43" i="39" s="1"/>
  <c r="O42" i="39"/>
  <c r="Q42" i="39" s="1"/>
  <c r="O40" i="39"/>
  <c r="Q40" i="39" s="1"/>
  <c r="O36" i="39"/>
  <c r="Q36" i="39" s="1"/>
  <c r="O16" i="39"/>
  <c r="Q16" i="39" s="1"/>
  <c r="O39" i="39"/>
  <c r="Q39" i="39" s="1"/>
  <c r="O33" i="39"/>
  <c r="Q33" i="39" s="1"/>
  <c r="O38" i="39"/>
  <c r="Q38" i="39" s="1"/>
  <c r="O35" i="39"/>
  <c r="Q35" i="39" s="1"/>
  <c r="G41" i="41"/>
  <c r="O37" i="39"/>
  <c r="Q37" i="39" s="1"/>
  <c r="O32" i="39"/>
  <c r="Q32" i="39" s="1"/>
  <c r="O34" i="39"/>
  <c r="O28" i="39"/>
  <c r="O21" i="39"/>
  <c r="Q21" i="39" s="1"/>
  <c r="O27" i="39"/>
  <c r="Q27" i="39" s="1"/>
  <c r="O30" i="39"/>
  <c r="Q30" i="39" s="1"/>
  <c r="O31" i="39"/>
  <c r="Q31" i="39" s="1"/>
  <c r="O26" i="39"/>
  <c r="Q26" i="39" s="1"/>
  <c r="O24" i="39"/>
  <c r="O29" i="39"/>
  <c r="O15" i="39"/>
  <c r="O22" i="39"/>
  <c r="O23" i="39"/>
  <c r="O19" i="39"/>
  <c r="Q19" i="39" s="1"/>
  <c r="O18" i="39"/>
  <c r="O20" i="39"/>
  <c r="O17" i="39"/>
  <c r="S23" i="40"/>
  <c r="E21" i="41"/>
  <c r="E20" i="41"/>
  <c r="E17" i="41"/>
  <c r="Q28" i="39" l="1"/>
  <c r="G31" i="41"/>
  <c r="Q34" i="39"/>
  <c r="G40" i="41"/>
  <c r="Q29" i="39"/>
  <c r="G32" i="41"/>
  <c r="Q24" i="39"/>
  <c r="G36" i="41"/>
  <c r="Q15" i="39"/>
  <c r="G38" i="41"/>
  <c r="Q22" i="39"/>
  <c r="G34" i="41"/>
  <c r="Q23" i="39"/>
  <c r="G35" i="41"/>
  <c r="Q18" i="39"/>
  <c r="G39" i="41"/>
  <c r="Q20" i="39"/>
  <c r="G30" i="41"/>
  <c r="Q17" i="39"/>
  <c r="G33" i="41"/>
  <c r="B6" i="55"/>
  <c r="H6" i="55" s="1"/>
  <c r="B7" i="55"/>
  <c r="H7" i="55" s="1"/>
  <c r="B8" i="55"/>
  <c r="H8" i="55" s="1"/>
  <c r="B9" i="55"/>
  <c r="H9" i="55" s="1"/>
  <c r="B5" i="55"/>
  <c r="G21" i="55"/>
  <c r="F21" i="55"/>
  <c r="E21" i="55"/>
  <c r="D21" i="55"/>
  <c r="C21" i="55"/>
  <c r="O11" i="40" l="1"/>
  <c r="P62" i="40" s="1"/>
  <c r="Q62" i="40" s="1"/>
  <c r="L11" i="40"/>
  <c r="M62" i="40" s="1"/>
  <c r="N62" i="40" s="1"/>
  <c r="I11" i="40"/>
  <c r="J62" i="40" s="1"/>
  <c r="K62" i="40" s="1"/>
  <c r="F11" i="40"/>
  <c r="G62" i="40" s="1"/>
  <c r="H62" i="40" s="1"/>
  <c r="S62" i="40" l="1"/>
  <c r="P60" i="40"/>
  <c r="Q60" i="40" s="1"/>
  <c r="P61" i="40"/>
  <c r="Q61" i="40" s="1"/>
  <c r="M60" i="40"/>
  <c r="N60" i="40" s="1"/>
  <c r="M61" i="40"/>
  <c r="N61" i="40" s="1"/>
  <c r="G60" i="40"/>
  <c r="H60" i="40" s="1"/>
  <c r="G61" i="40"/>
  <c r="H61" i="40" s="1"/>
  <c r="J60" i="40"/>
  <c r="K60" i="40" s="1"/>
  <c r="J61" i="40"/>
  <c r="K61" i="40" s="1"/>
  <c r="P58" i="40"/>
  <c r="Q58" i="40" s="1"/>
  <c r="P59" i="40"/>
  <c r="Q59" i="40" s="1"/>
  <c r="J58" i="40"/>
  <c r="K58" i="40" s="1"/>
  <c r="J59" i="40"/>
  <c r="K59" i="40" s="1"/>
  <c r="M58" i="40"/>
  <c r="N58" i="40" s="1"/>
  <c r="M59" i="40"/>
  <c r="N59" i="40" s="1"/>
  <c r="G58" i="40"/>
  <c r="H58" i="40" s="1"/>
  <c r="G59" i="40"/>
  <c r="H59" i="40" s="1"/>
  <c r="G56" i="40"/>
  <c r="H56" i="40" s="1"/>
  <c r="G57" i="40"/>
  <c r="H57" i="40" s="1"/>
  <c r="P56" i="40"/>
  <c r="Q56" i="40" s="1"/>
  <c r="P57" i="40"/>
  <c r="Q57" i="40" s="1"/>
  <c r="J56" i="40"/>
  <c r="K56" i="40" s="1"/>
  <c r="J57" i="40"/>
  <c r="K57" i="40" s="1"/>
  <c r="M56" i="40"/>
  <c r="N56" i="40" s="1"/>
  <c r="M57" i="40"/>
  <c r="N57" i="40" s="1"/>
  <c r="G54" i="40"/>
  <c r="H54" i="40" s="1"/>
  <c r="G55" i="40"/>
  <c r="H55" i="40" s="1"/>
  <c r="M54" i="40"/>
  <c r="N54" i="40" s="1"/>
  <c r="M55" i="40"/>
  <c r="N55" i="40" s="1"/>
  <c r="P54" i="40"/>
  <c r="Q54" i="40" s="1"/>
  <c r="P55" i="40"/>
  <c r="Q55" i="40" s="1"/>
  <c r="J54" i="40"/>
  <c r="K54" i="40" s="1"/>
  <c r="J55" i="40"/>
  <c r="K55" i="40" s="1"/>
  <c r="G52" i="40"/>
  <c r="H52" i="40" s="1"/>
  <c r="G53" i="40"/>
  <c r="H53" i="40" s="1"/>
  <c r="P52" i="40"/>
  <c r="Q52" i="40" s="1"/>
  <c r="P53" i="40"/>
  <c r="Q53" i="40" s="1"/>
  <c r="J52" i="40"/>
  <c r="K52" i="40" s="1"/>
  <c r="J53" i="40"/>
  <c r="K53" i="40" s="1"/>
  <c r="M52" i="40"/>
  <c r="N52" i="40" s="1"/>
  <c r="M53" i="40"/>
  <c r="N53" i="40" s="1"/>
  <c r="M50" i="40"/>
  <c r="N50" i="40" s="1"/>
  <c r="M51" i="40"/>
  <c r="N51" i="40" s="1"/>
  <c r="P50" i="40"/>
  <c r="Q50" i="40" s="1"/>
  <c r="P51" i="40"/>
  <c r="Q51" i="40" s="1"/>
  <c r="G50" i="40"/>
  <c r="H50" i="40" s="1"/>
  <c r="G51" i="40"/>
  <c r="H51" i="40" s="1"/>
  <c r="J50" i="40"/>
  <c r="K50" i="40" s="1"/>
  <c r="J51" i="40"/>
  <c r="K51" i="40" s="1"/>
  <c r="G48" i="40"/>
  <c r="H48" i="40" s="1"/>
  <c r="G49" i="40"/>
  <c r="H49" i="40" s="1"/>
  <c r="J48" i="40"/>
  <c r="K48" i="40" s="1"/>
  <c r="J49" i="40"/>
  <c r="K49" i="40" s="1"/>
  <c r="M48" i="40"/>
  <c r="N48" i="40" s="1"/>
  <c r="M49" i="40"/>
  <c r="N49" i="40" s="1"/>
  <c r="P48" i="40"/>
  <c r="Q48" i="40" s="1"/>
  <c r="P49" i="40"/>
  <c r="Q49" i="40" s="1"/>
  <c r="M46" i="40"/>
  <c r="N46" i="40" s="1"/>
  <c r="M47" i="40"/>
  <c r="N47" i="40" s="1"/>
  <c r="G46" i="40"/>
  <c r="H46" i="40" s="1"/>
  <c r="G47" i="40"/>
  <c r="H47" i="40" s="1"/>
  <c r="J46" i="40"/>
  <c r="K46" i="40" s="1"/>
  <c r="J47" i="40"/>
  <c r="K47" i="40" s="1"/>
  <c r="P46" i="40"/>
  <c r="Q46" i="40" s="1"/>
  <c r="P47" i="40"/>
  <c r="Q47" i="40" s="1"/>
  <c r="G44" i="40"/>
  <c r="H44" i="40" s="1"/>
  <c r="G45" i="40"/>
  <c r="H45" i="40" s="1"/>
  <c r="J44" i="40"/>
  <c r="K44" i="40" s="1"/>
  <c r="J45" i="40"/>
  <c r="K45" i="40" s="1"/>
  <c r="M44" i="40"/>
  <c r="N44" i="40" s="1"/>
  <c r="M45" i="40"/>
  <c r="N45" i="40" s="1"/>
  <c r="P44" i="40"/>
  <c r="Q44" i="40" s="1"/>
  <c r="P45" i="40"/>
  <c r="Q45" i="40" s="1"/>
  <c r="P42" i="40"/>
  <c r="Q42" i="40" s="1"/>
  <c r="P43" i="40"/>
  <c r="Q43" i="40" s="1"/>
  <c r="G42" i="40"/>
  <c r="H42" i="40" s="1"/>
  <c r="G43" i="40"/>
  <c r="H43" i="40" s="1"/>
  <c r="J42" i="40"/>
  <c r="K42" i="40" s="1"/>
  <c r="J43" i="40"/>
  <c r="K43" i="40" s="1"/>
  <c r="M42" i="40"/>
  <c r="N42" i="40" s="1"/>
  <c r="M43" i="40"/>
  <c r="N43" i="40" s="1"/>
  <c r="G40" i="40"/>
  <c r="H40" i="40" s="1"/>
  <c r="G41" i="40"/>
  <c r="H41" i="40" s="1"/>
  <c r="J40" i="40"/>
  <c r="K40" i="40" s="1"/>
  <c r="J41" i="40"/>
  <c r="K41" i="40" s="1"/>
  <c r="M40" i="40"/>
  <c r="N40" i="40" s="1"/>
  <c r="M41" i="40"/>
  <c r="N41" i="40" s="1"/>
  <c r="P40" i="40"/>
  <c r="Q40" i="40" s="1"/>
  <c r="P41" i="40"/>
  <c r="Q41" i="40" s="1"/>
  <c r="G38" i="40"/>
  <c r="H38" i="40" s="1"/>
  <c r="G39" i="40"/>
  <c r="H39" i="40" s="1"/>
  <c r="J38" i="40"/>
  <c r="K38" i="40" s="1"/>
  <c r="J39" i="40"/>
  <c r="K39" i="40" s="1"/>
  <c r="M38" i="40"/>
  <c r="N38" i="40" s="1"/>
  <c r="M39" i="40"/>
  <c r="N39" i="40" s="1"/>
  <c r="P38" i="40"/>
  <c r="Q38" i="40" s="1"/>
  <c r="P39" i="40"/>
  <c r="Q39" i="40" s="1"/>
  <c r="G36" i="40"/>
  <c r="H36" i="40" s="1"/>
  <c r="G37" i="40"/>
  <c r="H37" i="40" s="1"/>
  <c r="J36" i="40"/>
  <c r="K36" i="40" s="1"/>
  <c r="J37" i="40"/>
  <c r="K37" i="40" s="1"/>
  <c r="M36" i="40"/>
  <c r="N36" i="40" s="1"/>
  <c r="M37" i="40"/>
  <c r="N37" i="40" s="1"/>
  <c r="P36" i="40"/>
  <c r="Q36" i="40" s="1"/>
  <c r="P37" i="40"/>
  <c r="Q37" i="40" s="1"/>
  <c r="M34" i="40"/>
  <c r="N34" i="40" s="1"/>
  <c r="M35" i="40"/>
  <c r="N35" i="40" s="1"/>
  <c r="P34" i="40"/>
  <c r="Q34" i="40" s="1"/>
  <c r="P35" i="40"/>
  <c r="Q35" i="40" s="1"/>
  <c r="G34" i="40"/>
  <c r="H34" i="40" s="1"/>
  <c r="G35" i="40"/>
  <c r="H35" i="40" s="1"/>
  <c r="J34" i="40"/>
  <c r="K34" i="40" s="1"/>
  <c r="J35" i="40"/>
  <c r="K35" i="40" s="1"/>
  <c r="P33" i="40"/>
  <c r="Q33" i="40" s="1"/>
  <c r="J33" i="40"/>
  <c r="K33" i="40" s="1"/>
  <c r="G33" i="40"/>
  <c r="H33" i="40" s="1"/>
  <c r="M33" i="40"/>
  <c r="N33" i="40" s="1"/>
  <c r="J30" i="40"/>
  <c r="K30" i="40" s="1"/>
  <c r="J31" i="40"/>
  <c r="K31" i="40" s="1"/>
  <c r="G30" i="40"/>
  <c r="H30" i="40" s="1"/>
  <c r="G31" i="40"/>
  <c r="H31" i="40" s="1"/>
  <c r="M30" i="40"/>
  <c r="N30" i="40" s="1"/>
  <c r="M31" i="40"/>
  <c r="N31" i="40" s="1"/>
  <c r="P30" i="40"/>
  <c r="Q30" i="40" s="1"/>
  <c r="P31" i="40"/>
  <c r="Q31" i="40" s="1"/>
  <c r="M28" i="40"/>
  <c r="N28" i="40" s="1"/>
  <c r="M29" i="40"/>
  <c r="N29" i="40" s="1"/>
  <c r="P28" i="40"/>
  <c r="Q28" i="40" s="1"/>
  <c r="P29" i="40"/>
  <c r="Q29" i="40" s="1"/>
  <c r="G28" i="40"/>
  <c r="H28" i="40" s="1"/>
  <c r="G29" i="40"/>
  <c r="H29" i="40" s="1"/>
  <c r="J28" i="40"/>
  <c r="K28" i="40" s="1"/>
  <c r="J29" i="40"/>
  <c r="K29" i="40" s="1"/>
  <c r="M26" i="40"/>
  <c r="N26" i="40" s="1"/>
  <c r="M27" i="40"/>
  <c r="N27" i="40" s="1"/>
  <c r="P26" i="40"/>
  <c r="Q26" i="40" s="1"/>
  <c r="P27" i="40"/>
  <c r="Q27" i="40" s="1"/>
  <c r="G26" i="40"/>
  <c r="H26" i="40" s="1"/>
  <c r="G27" i="40"/>
  <c r="H27" i="40" s="1"/>
  <c r="J26" i="40"/>
  <c r="K26" i="40" s="1"/>
  <c r="J27" i="40"/>
  <c r="K27" i="40" s="1"/>
  <c r="P24" i="40"/>
  <c r="Q24" i="40" s="1"/>
  <c r="P25" i="40"/>
  <c r="Q25" i="40" s="1"/>
  <c r="J24" i="40"/>
  <c r="K24" i="40" s="1"/>
  <c r="J25" i="40"/>
  <c r="K25" i="40" s="1"/>
  <c r="G24" i="40"/>
  <c r="H24" i="40" s="1"/>
  <c r="G25" i="40"/>
  <c r="H25" i="40" s="1"/>
  <c r="M24" i="40"/>
  <c r="N24" i="40" s="1"/>
  <c r="M25" i="40"/>
  <c r="N25" i="40" s="1"/>
  <c r="G21" i="40"/>
  <c r="H21" i="40" s="1"/>
  <c r="G22" i="40"/>
  <c r="H22" i="40" s="1"/>
  <c r="J21" i="40"/>
  <c r="K21" i="40" s="1"/>
  <c r="J22" i="40"/>
  <c r="K22" i="40" s="1"/>
  <c r="M21" i="40"/>
  <c r="N21" i="40" s="1"/>
  <c r="M22" i="40"/>
  <c r="N22" i="40" s="1"/>
  <c r="P21" i="40"/>
  <c r="Q21" i="40" s="1"/>
  <c r="P22" i="40"/>
  <c r="Q22" i="40" s="1"/>
  <c r="J19" i="40"/>
  <c r="K19" i="40" s="1"/>
  <c r="J20" i="40"/>
  <c r="K20" i="40" s="1"/>
  <c r="G19" i="40"/>
  <c r="H19" i="40" s="1"/>
  <c r="G20" i="40"/>
  <c r="H20" i="40" s="1"/>
  <c r="M19" i="40"/>
  <c r="N19" i="40" s="1"/>
  <c r="M20" i="40"/>
  <c r="N20" i="40" s="1"/>
  <c r="P19" i="40"/>
  <c r="Q19" i="40" s="1"/>
  <c r="P20" i="40"/>
  <c r="Q20" i="40" s="1"/>
  <c r="J17" i="40"/>
  <c r="K17" i="40" s="1"/>
  <c r="J18" i="40"/>
  <c r="K18" i="40" s="1"/>
  <c r="G17" i="40"/>
  <c r="H17" i="40" s="1"/>
  <c r="G18" i="40"/>
  <c r="H18" i="40" s="1"/>
  <c r="M17" i="40"/>
  <c r="N17" i="40" s="1"/>
  <c r="M18" i="40"/>
  <c r="N18" i="40" s="1"/>
  <c r="P17" i="40"/>
  <c r="Q17" i="40" s="1"/>
  <c r="P18" i="40"/>
  <c r="Q18" i="40" s="1"/>
  <c r="P15" i="40"/>
  <c r="Q15" i="40" s="1"/>
  <c r="P16" i="40"/>
  <c r="Q16" i="40" s="1"/>
  <c r="G15" i="40"/>
  <c r="H15" i="40" s="1"/>
  <c r="G16" i="40"/>
  <c r="H16" i="40" s="1"/>
  <c r="J15" i="40"/>
  <c r="K15" i="40" s="1"/>
  <c r="J16" i="40"/>
  <c r="K16" i="40" s="1"/>
  <c r="M15" i="40"/>
  <c r="N15" i="40" s="1"/>
  <c r="M16" i="40"/>
  <c r="N16"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2" i="40" s="1"/>
  <c r="T32" i="40" s="1"/>
  <c r="R32" i="40" s="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M32" i="40" l="1"/>
  <c r="N32" i="40" s="1"/>
  <c r="G32" i="40"/>
  <c r="H32" i="40" s="1"/>
  <c r="S60" i="40"/>
  <c r="J32" i="40"/>
  <c r="K32" i="40" s="1"/>
  <c r="P32" i="40"/>
  <c r="Q32" i="40" s="1"/>
  <c r="S61" i="40"/>
  <c r="S59" i="40"/>
  <c r="S58" i="40"/>
  <c r="S56" i="40"/>
  <c r="S54" i="40"/>
  <c r="S57" i="40"/>
  <c r="S55" i="40"/>
  <c r="S52" i="40"/>
  <c r="S53" i="40"/>
  <c r="S50" i="40"/>
  <c r="S51" i="40"/>
  <c r="S48" i="40"/>
  <c r="S49" i="40"/>
  <c r="S47" i="40"/>
  <c r="S46" i="40"/>
  <c r="S40" i="40"/>
  <c r="S42" i="40"/>
  <c r="S44" i="40"/>
  <c r="S45" i="40"/>
  <c r="S43" i="40"/>
  <c r="S41" i="40"/>
  <c r="S38" i="40"/>
  <c r="S39" i="40"/>
  <c r="S37" i="40"/>
  <c r="S36" i="40"/>
  <c r="S35" i="40"/>
  <c r="S34" i="40"/>
  <c r="S33" i="40"/>
  <c r="S32" i="40"/>
  <c r="S31" i="40"/>
  <c r="S30" i="40"/>
  <c r="S24" i="40"/>
  <c r="F41" i="41" s="1"/>
  <c r="S29" i="40"/>
  <c r="S28" i="40"/>
  <c r="S27" i="40"/>
  <c r="S26" i="40"/>
  <c r="S19" i="40"/>
  <c r="S25" i="40"/>
  <c r="S22" i="40"/>
  <c r="S21" i="40"/>
  <c r="S17" i="40"/>
  <c r="S20" i="40"/>
  <c r="S15" i="40"/>
  <c r="S18" i="40"/>
  <c r="S16" i="40"/>
  <c r="R13" i="39"/>
  <c r="P13" i="39" s="1"/>
  <c r="T14" i="40"/>
  <c r="M14" i="40" s="1"/>
  <c r="N14" i="40" s="1"/>
  <c r="H16" i="55"/>
  <c r="J13" i="71"/>
  <c r="I13" i="71" s="1"/>
  <c r="I13" i="26"/>
  <c r="I13" i="70"/>
  <c r="F8" i="55"/>
  <c r="I14" i="26"/>
  <c r="H14" i="26" s="1"/>
  <c r="I14" i="70"/>
  <c r="H14" i="70" s="1"/>
  <c r="J14" i="71"/>
  <c r="T13" i="40"/>
  <c r="G5" i="55" l="1"/>
  <c r="G8" i="55"/>
  <c r="I17" i="41"/>
  <c r="J14" i="40"/>
  <c r="K14" i="40" s="1"/>
  <c r="R14" i="40"/>
  <c r="P14" i="40"/>
  <c r="Q14" i="40" s="1"/>
  <c r="G14" i="40"/>
  <c r="H14" i="40" s="1"/>
  <c r="O13" i="39"/>
  <c r="Q13" i="39" s="1"/>
  <c r="I20" i="41"/>
  <c r="I21" i="41"/>
  <c r="I23" i="41"/>
  <c r="I14" i="71"/>
  <c r="C4" i="71" s="1"/>
  <c r="C9" i="55"/>
  <c r="C8" i="55"/>
  <c r="F40" i="41"/>
  <c r="F36" i="41"/>
  <c r="F39" i="41"/>
  <c r="F30" i="41"/>
  <c r="F37" i="41"/>
  <c r="F34" i="41"/>
  <c r="F35" i="41"/>
  <c r="F32" i="41"/>
  <c r="F38" i="41"/>
  <c r="F33" i="41"/>
  <c r="H13" i="26"/>
  <c r="C4" i="26" s="1"/>
  <c r="B4" i="74"/>
  <c r="B6" i="74"/>
  <c r="H13" i="70"/>
  <c r="C4" i="70" s="1"/>
  <c r="J48" i="41" s="1"/>
  <c r="B5" i="74"/>
  <c r="B2" i="74"/>
  <c r="F5" i="55"/>
  <c r="F6" i="55"/>
  <c r="E7" i="40"/>
  <c r="R13" i="40"/>
  <c r="E6" i="40"/>
  <c r="N13" i="40"/>
  <c r="D7" i="40" s="1"/>
  <c r="H13" i="40"/>
  <c r="M13" i="40"/>
  <c r="G13" i="40"/>
  <c r="E5" i="40"/>
  <c r="Q13" i="40"/>
  <c r="J13" i="40"/>
  <c r="E8" i="40"/>
  <c r="K13" i="40"/>
  <c r="P13" i="40"/>
  <c r="S13" i="40"/>
  <c r="C7" i="55" s="1"/>
  <c r="G10" i="55" l="1"/>
  <c r="S14" i="40"/>
  <c r="F31" i="41" s="1"/>
  <c r="C6" i="55"/>
  <c r="D6" i="40"/>
  <c r="D5" i="40"/>
  <c r="D8" i="40"/>
  <c r="E7" i="55"/>
  <c r="C23" i="55"/>
  <c r="E23" i="55"/>
  <c r="G23"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I7" i="55" s="1"/>
  <c r="D8" i="55"/>
  <c r="E9" i="55"/>
  <c r="E8" i="55"/>
  <c r="D9" i="55"/>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L41" i="41" l="1"/>
  <c r="L40" i="41"/>
  <c r="L39" i="41"/>
  <c r="L38" i="41"/>
  <c r="L37" i="41"/>
  <c r="L36" i="41"/>
  <c r="L33" i="41"/>
  <c r="L34" i="41"/>
  <c r="L35" i="41"/>
  <c r="L32" i="41"/>
  <c r="L31" i="41"/>
  <c r="L30" i="41"/>
  <c r="I9" i="55"/>
  <c r="I8" i="55"/>
  <c r="H32" i="55"/>
  <c r="H28" i="55"/>
  <c r="H31" i="55"/>
  <c r="H27"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E77" i="55"/>
  <c r="G77" i="55"/>
  <c r="F77" i="55"/>
  <c r="C10" i="55"/>
  <c r="G17" i="55" l="1"/>
  <c r="C17" i="55"/>
  <c r="F17" i="55"/>
  <c r="K27" i="41"/>
  <c r="H15" i="55" s="1"/>
  <c r="H17" i="55" s="1"/>
  <c r="D10" i="39"/>
  <c r="D22" i="41" s="1"/>
  <c r="H5" i="55"/>
  <c r="H10" i="55" s="1"/>
  <c r="R14" i="39"/>
  <c r="I19" i="41" l="1"/>
  <c r="F4" i="39"/>
  <c r="O14" i="39"/>
  <c r="F6" i="39"/>
  <c r="B3" i="74"/>
  <c r="I18" i="41"/>
  <c r="P14" i="39"/>
  <c r="I22" i="41"/>
  <c r="H28" i="41" l="1"/>
  <c r="H29" i="41"/>
  <c r="G29" i="41"/>
  <c r="D24" i="55"/>
  <c r="H24" i="55" s="1"/>
  <c r="D4" i="39"/>
  <c r="G28" i="41"/>
  <c r="D23" i="55"/>
  <c r="H23" i="55" s="1"/>
  <c r="E6" i="55"/>
  <c r="D5" i="39"/>
  <c r="F8" i="39"/>
  <c r="D6" i="55"/>
  <c r="D22" i="55"/>
  <c r="D9" i="39"/>
  <c r="D19" i="41" s="1"/>
  <c r="E5" i="55"/>
  <c r="H27" i="41"/>
  <c r="D7" i="39"/>
  <c r="D5" i="55"/>
  <c r="C22" i="55"/>
  <c r="Q14" i="39"/>
  <c r="G27" i="41"/>
  <c r="D8" i="39"/>
  <c r="D6" i="39"/>
  <c r="D77" i="55" l="1"/>
  <c r="L28" i="41"/>
  <c r="L29" i="41"/>
  <c r="E4" i="39"/>
  <c r="E10" i="55"/>
  <c r="I6"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<sst xmlns="http://schemas.openxmlformats.org/spreadsheetml/2006/main" count="1120" uniqueCount="406">
  <si>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</si>
  <si>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</si>
  <si>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</si>
  <si>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</si>
  <si>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</si>
  <si>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</si>
  <si>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</si>
  <si>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</si>
  <si>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</si>
  <si>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</si>
  <si>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</si>
  <si>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</si>
  <si>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</si>
  <si>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</si>
  <si>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</si>
  <si>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</si>
  <si>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</si>
  <si>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</si>
  <si>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</si>
  <si>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</si>
  <si>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</si>
  <si>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</si>
  <si>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</si>
  <si>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</si>
  <si>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</si>
  <si>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</si>
  <si>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</si>
  <si>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</si>
  <si>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</si>
  <si>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</si>
  <si>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</si>
  <si>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</si>
  <si>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</si>
  <si>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</si>
  <si>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</si>
  <si>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</si>
  <si>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</si>
  <si>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</si>
  <si>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</si>
  <si>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</si>
  <si>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</si>
  <si>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</si>
  <si>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</si>
  <si>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</si>
  <si>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</si>
  <si>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</si>
  <si>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</si>
  <si>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</si>
  <si>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</si>
  <si>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</si>
  <si>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</si>
  <si>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</si>
  <si>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</si>
  <si>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</si>
  <si>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</si>
  <si>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</si>
  <si>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</si>
  <si>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</si>
  <si>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</si>
  <si>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</si>
  <si>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</si>
  <si>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</si>
  <si>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</si>
  <si>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</si>
  <si>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</si>
  <si>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</si>
  <si>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</si>
  <si>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</si>
  <si>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</si>
  <si>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</si>
  <si>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</si>
  <si>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</si>
  <si>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</si>
  <si>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</si>
  <si>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</si>
  <si>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</si>
  <si>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</si>
  <si>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</si>
  <si>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</si>
  <si>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</si>
  <si>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</si>
  <si>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</si>
  <si>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</si>
  <si>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</si>
  <si>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</si>
  <si>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</si>
  <si>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</si>
  <si>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</si>
  <si>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</si>
  <si>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</si>
  <si>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</si>
  <si>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</si>
  <si>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</si>
  <si>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</si>
  <si>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</si>
  <si>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</si>
  <si>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</si>
  <si>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</si>
  <si>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</si>
  <si>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</si>
  <si>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</si>
  <si>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</si>
  <si>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</si>
  <si>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</si>
  <si>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</si>
  <si>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</si>
  <si>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</si>
  <si>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</si>
  <si>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</si>
  <si>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</si>
  <si>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</si>
  <si>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</si>
  <si>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</si>
  <si>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</si>
  <si>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</si>
  <si>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</si>
  <si>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</si>
  <si>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</si>
  <si>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</si>
  <si>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</si>
  <si>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</si>
  <si>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</si>
  <si>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</si>
  <si>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</si>
  <si>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</si>
  <si>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</si>
  <si>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</si>
  <si>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</si>
  <si>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</si>
  <si>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</si>
  <si>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</si>
  <si>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</si>
  <si>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</si>
  <si>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</si>
  <si>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</si>
  <si>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</si>
  <si>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</si>
  <si>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</si>
  <si>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</si>
  <si>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</si>
  <si>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</si>
  <si>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</si>
  <si>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</si>
  <si>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</si>
  <si>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</si>
  <si>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</si>
  <si>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</si>
  <si>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</si>
  <si>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</si>
  <si>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</si>
  <si>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</si>
  <si>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</si>
  <si>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</si>
  <si>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</si>
  <si>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</si>
  <si>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</si>
  <si>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</si>
  <si>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</si>
  <si>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</si>
  <si>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</si>
  <si>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</si>
  <si>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</si>
  <si>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</si>
  <si>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</si>
  <si>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</si>
  <si>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</si>
  <si>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</si>
  <si>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</si>
  <si>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</si>
  <si>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</si>
  <si>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</si>
  <si>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</si>
  <si>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</si>
  <si>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</si>
  <si>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</si>
  <si>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</si>
  <si>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</si>
  <si>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</si>
  <si>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</si>
  <si>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</si>
  <si>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</si>
  <si>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</si>
  <si>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</si>
  <si>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</si>
  <si>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</si>
  <si>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</si>
  <si>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</si>
  <si>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</si>
  <si>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</si>
  <si>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</si>
  <si>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</si>
  <si>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</si>
  <si>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</si>
  <si>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</si>
  <si>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</si>
  <si>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</si>
  <si>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</si>
  <si>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</si>
  <si>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</si>
  <si>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</si>
  <si>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</si>
  <si>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</si>
  <si>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</si>
  <si>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</si>
  <si>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</si>
  <si>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</si>
  <si>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</si>
  <si>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</si>
  <si>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</si>
  <si>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</si>
  <si>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</si>
  <si>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</si>
  <si>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</si>
  <si>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</si>
  <si>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</si>
  <si>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</si>
  <si>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</si>
  <si>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</si>
  <si>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</si>
  <si>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</si>
  <si>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</si>
  <si>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</si>
  <si>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</si>
  <si>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</si>
  <si>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</si>
  <si>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</si>
  <si>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</si>
  <si>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</si>
  <si>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</si>
  <si>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</si>
  <si>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</si>
  <si>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</si>
  <si>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</si>
  <si>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</si>
  <si>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</si>
  <si>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</si>
  <si>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</si>
  <si>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</si>
  <si>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</si>
  <si>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</si>
  <si>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</si>
  <si>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</si>
  <si>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</si>
  <si>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</si>
  <si>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</si>
  <si>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</si>
  <si>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</si>
  <si>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</si>
  <si>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</si>
  <si>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</si>
  <si>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</si>
  <si>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</si>
  <si>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</si>
  <si>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</si>
  <si>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</si>
  <si>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</si>
  <si>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</si>
  <si>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</si>
  <si>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</si>
  <si>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</si>
  <si>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</si>
  <si>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</si>
  <si>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</si>
  <si>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</si>
  <si>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</si>
  <si>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</si>
  <si>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</si>
  <si>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</si>
  <si>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</si>
  <si>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</si>
  <si>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</si>
  <si>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</si>
  <si>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</si>
  <si>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</si>
  <si>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</si>
  <si>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</si>
  <si>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</si>
  <si>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</si>
  <si>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</si>
  <si>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</si>
  <si>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</si>
  <si>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</si>
  <si>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</si>
  <si>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</si>
  <si>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</si>
  <si>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</si>
  <si>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</si>
  <si>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</si>
  <si>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</si>
  <si>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</si>
  <si>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</si>
  <si>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</si>
  <si>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</si>
  <si>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</si>
  <si>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</si>
  <si>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</si>
  <si>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</si>
  <si>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</si>
  <si>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</si>
  <si>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</si>
  <si>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</si>
  <si>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</si>
  <si>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</si>
  <si>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</si>
  <si>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</si>
  <si>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</si>
  <si>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</si>
  <si>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</si>
  <si>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</si>
  <si>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</si>
  <si>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</si>
  <si>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</si>
  <si>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</si>
  <si>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</si>
  <si>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</si>
  <si>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</si>
  <si>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</si>
  <si>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</si>
  <si>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</si>
  <si>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</si>
  <si>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</si>
  <si>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</si>
  <si>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</si>
  <si>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</si>
  <si>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</si>
  <si>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</si>
  <si>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</si>
  <si>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</si>
  <si>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</si>
  <si>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</si>
  <si>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</si>
  <si>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</si>
  <si>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</si>
  <si>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</si>
  <si>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</si>
  <si>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</si>
  <si>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</si>
  <si>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</si>
  <si>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</si>
  <si>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</si>
  <si>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</si>
  <si>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</si>
  <si>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</si>
  <si>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</si>
  <si>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</si>
  <si>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</si>
  <si>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</si>
  <si>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</si>
  <si>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</si>
  <si>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</si>
  <si>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</si>
  <si>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</si>
  <si>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</si>
  <si>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</si>
  <si>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</si>
  <si>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</si>
  <si>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</si>
  <si>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</si>
  <si>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</si>
  <si>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</si>
  <si>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Structural Project</t>
  </si>
  <si>
    <t>StartUp</t>
  </si>
  <si>
    <t>FifthElement</t>
  </si>
  <si>
    <t>Univerzitet u Nisu</t>
  </si>
  <si>
    <t>Privredna komora Srbije</t>
  </si>
  <si>
    <t>Drustvo za akedmski razvoj (DAR)</t>
  </si>
  <si>
    <t>Ministarstvo prosvete, nauke I tehnoloskog razvoja</t>
  </si>
  <si>
    <t>University of Helsinki</t>
  </si>
  <si>
    <t>Radboud University</t>
  </si>
  <si>
    <t>Universidad de Salamanca</t>
  </si>
  <si>
    <t>University of Vienna</t>
  </si>
  <si>
    <t>Stockholm University</t>
  </si>
  <si>
    <t>IMEC</t>
  </si>
  <si>
    <t>EdukaMont</t>
  </si>
  <si>
    <t>Enterprise Ireland</t>
  </si>
  <si>
    <t>Uniwersytet Warszawski</t>
  </si>
  <si>
    <t>InterSoft Education</t>
  </si>
  <si>
    <t>30 laptopova (AMD Renoir Ryzen 7 4700U, 8C/8T, 1 TB M.2 PCIe x4 SSD, AMD Radeon Vega 7, 7 CUs, 1.6 GHz)</t>
  </si>
  <si>
    <t>Ostatak opreme neophodne za razvijanje softvera.</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</si>
  <si>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</si>
  <si>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</si>
  <si>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</si>
  <si>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</si>
  <si>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</si>
  <si>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Nordea Bank</t>
  </si>
  <si>
    <t>Potrebna sredstva za: pripremu materijala za seminar (3 dana x 10 sati x 50 osoba x 25 eura)</t>
  </si>
  <si>
    <t>Finansira troškove putovanja i odsedanja</t>
  </si>
  <si>
    <t>KBC Bank</t>
  </si>
  <si>
    <t>Potrebna sredstva za: troškove putovanja i odsedanja za dodatno osoblje (3 dana x 25 osoba x 500 eura)</t>
  </si>
  <si>
    <t>Allied Irish Banks (AIB)</t>
  </si>
  <si>
    <t>Potrebna sredstva za implementaciju i razvoj softvera.</t>
  </si>
  <si>
    <t>Beograd</t>
  </si>
  <si>
    <t>Amsterdam</t>
  </si>
  <si>
    <t>Potreban prostor(ucionica, labaratorija)</t>
  </si>
  <si>
    <t>Podgorica</t>
  </si>
  <si>
    <t>Dublin</t>
  </si>
  <si>
    <t>Helsinki</t>
  </si>
  <si>
    <t>Bruxelles</t>
  </si>
  <si>
    <t>Warshaw</t>
  </si>
  <si>
    <t>Nis</t>
  </si>
  <si>
    <t>Sarajevo</t>
  </si>
  <si>
    <t>Madrid</t>
  </si>
  <si>
    <t>Stockholm</t>
  </si>
  <si>
    <t>Vienna</t>
  </si>
  <si>
    <t>Warsaw</t>
  </si>
  <si>
    <t>Novi Pazar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</si>
</sst>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651">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zoomScale="54" zoomScaleNormal="70" zoomScaleSheetLayoutView="85" workbookViewId="0">
      <selection activeCell="D12" sqref="D12"/>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13" t="s">
        <v>355</v>
      </c>
      <c r="C7" s="113"/>
      <c r="D7" s="113"/>
      <c r="E7" s="113"/>
      <c r="F7" s="113"/>
      <c r="G7" s="113"/>
      <c r="H7" s="113"/>
      <c r="I7" s="113"/>
      <c r="J7" s="113"/>
      <c r="K7" s="113"/>
      <c r="L7" s="113"/>
    </row>
    <row r="8" spans="2:12" ht="24.9" customHeight="1" x14ac:dyDescent="0.35">
      <c r="B8" s="114" t="s">
        <v>356</v>
      </c>
      <c r="C8" s="114"/>
      <c r="D8" s="114"/>
      <c r="E8" s="114"/>
      <c r="F8" s="114"/>
      <c r="G8" s="114"/>
      <c r="H8" s="114"/>
      <c r="I8" s="114"/>
      <c r="J8" s="114"/>
      <c r="K8" s="114"/>
      <c r="L8" s="114"/>
    </row>
    <row r="9" spans="2:12" ht="24.9" customHeight="1" x14ac:dyDescent="0.35">
      <c r="B9" s="115" t="s">
        <v>130</v>
      </c>
      <c r="C9" s="115"/>
      <c r="D9" s="115"/>
      <c r="E9" s="115"/>
      <c r="F9" s="115"/>
      <c r="G9" s="115"/>
      <c r="H9" s="115"/>
      <c r="I9" s="115"/>
      <c r="J9" s="115"/>
      <c r="K9" s="115"/>
      <c r="L9" s="115"/>
    </row>
    <row r="10" spans="2:12" ht="20.100000000000001" customHeight="1" x14ac:dyDescent="0.35">
      <c r="B10" s="7"/>
      <c r="C10" s="7"/>
      <c r="D10" s="4"/>
      <c r="E10" s="4"/>
      <c r="F10" s="4"/>
      <c r="G10" s="4"/>
      <c r="H10" s="4"/>
      <c r="I10" s="4"/>
      <c r="J10" s="4"/>
      <c r="K10" s="4"/>
    </row>
    <row r="11" spans="2:12" ht="18" customHeight="1" x14ac:dyDescent="0.35">
      <c r="B11" s="104" t="s">
        <v>2</v>
      </c>
      <c r="C11" s="104"/>
      <c r="D11" s="8" t="s">
        <v>360</v>
      </c>
      <c r="E11" s="116" t="str">
        <f>IF(D11="","Please select Action Type",IF(OR(D11="Joint Project",D11="Structural Project"),"","Error Type of Action"))</f>
        <v/>
      </c>
      <c r="F11" s="116"/>
      <c r="G11" s="116"/>
      <c r="H11" s="116"/>
      <c r="I11" s="116"/>
      <c r="J11" s="116"/>
      <c r="K11" s="116"/>
      <c r="L11" s="116"/>
    </row>
    <row r="12" spans="2:12" ht="18" customHeight="1" x14ac:dyDescent="0.35">
      <c r="B12" s="104" t="s">
        <v>136</v>
      </c>
      <c r="C12" s="104"/>
      <c r="D12" s="8">
        <v>24</v>
      </c>
      <c r="E12" s="116" t="str">
        <f>IF(D12="","Please select duration",IF(OR(D12=24,D12=36),"","Error duration"))</f>
        <v/>
      </c>
      <c r="F12" s="116"/>
      <c r="G12" s="116"/>
      <c r="H12" s="116"/>
      <c r="I12" s="116"/>
      <c r="J12" s="116"/>
      <c r="K12" s="116"/>
      <c r="L12" s="116"/>
    </row>
    <row r="13" spans="2:12" ht="18" customHeight="1" x14ac:dyDescent="0.35">
      <c r="B13" s="104" t="s">
        <v>169</v>
      </c>
      <c r="C13" s="104"/>
      <c r="D13" s="8" t="s">
        <v>361</v>
      </c>
      <c r="E13" s="116" t="str">
        <f>IF(D13="","Please fill in Project Acronym","")</f>
        <v/>
      </c>
      <c r="F13" s="116"/>
      <c r="G13" s="116"/>
      <c r="H13" s="116"/>
      <c r="I13" s="116"/>
      <c r="J13" s="116"/>
      <c r="K13" s="116"/>
      <c r="L13" s="116"/>
    </row>
    <row r="14" spans="2:12" ht="18" customHeight="1" x14ac:dyDescent="0.35">
      <c r="B14" s="104" t="s">
        <v>170</v>
      </c>
      <c r="C14" s="104"/>
      <c r="D14" s="117" t="s">
        <v>361</v>
      </c>
      <c r="E14" s="118"/>
      <c r="F14" s="118"/>
      <c r="G14" s="118"/>
      <c r="H14" s="118"/>
      <c r="I14" s="118"/>
      <c r="J14" s="118"/>
      <c r="K14" s="118"/>
      <c r="L14" s="119"/>
    </row>
    <row r="15" spans="2:12" ht="20.100000000000001" customHeight="1" x14ac:dyDescent="0.35">
      <c r="B15" s="4"/>
      <c r="C15" s="4"/>
      <c r="D15" s="4"/>
      <c r="E15" s="4"/>
      <c r="F15" s="4"/>
      <c r="G15" s="4"/>
      <c r="H15" s="4"/>
      <c r="I15" s="4"/>
      <c r="J15" s="4"/>
      <c r="K15" s="4"/>
    </row>
    <row r="16" spans="2:12" ht="24.9" customHeight="1" x14ac:dyDescent="0.35">
      <c r="B16" s="103" t="s">
        <v>222</v>
      </c>
      <c r="C16" s="103"/>
      <c r="D16" s="103"/>
      <c r="E16" s="103"/>
      <c r="F16" s="103"/>
      <c r="G16" s="103"/>
      <c r="H16" s="103"/>
      <c r="I16" s="103"/>
      <c r="J16" s="103"/>
      <c r="K16" s="103"/>
      <c r="L16" s="103"/>
    </row>
    <row r="17" spans="2:12" x14ac:dyDescent="0.35">
      <c r="B17" s="104" t="s">
        <v>166</v>
      </c>
      <c r="C17" s="104"/>
      <c r="D17" s="9">
        <f>'1. Staff costs'!D9</f>
        <v>357987</v>
      </c>
      <c r="E17" s="101" t="str">
        <f>"Cannot exceed 40% of total Grant requested"</f>
        <v>Cannot exceed 40% of total Grant requested</v>
      </c>
      <c r="F17" s="102"/>
      <c r="G17" s="102"/>
      <c r="H17" s="102"/>
      <c r="I17" s="99" t="str">
        <f>IF(COUNTIF('1. Staff costs'!T:T,"Error")&lt;=1,"","Please check data in Tab '1. Staff Costs'")</f>
        <v/>
      </c>
      <c r="J17" s="99"/>
      <c r="K17" s="99"/>
      <c r="L17" s="100"/>
    </row>
    <row r="18" spans="2:12" x14ac:dyDescent="0.35">
      <c r="B18" s="104" t="s">
        <v>341</v>
      </c>
      <c r="C18" s="104"/>
      <c r="D18" s="9">
        <f>' 2-3-6. Travel&amp;Costs of Stay'!D8</f>
        <v>9525</v>
      </c>
      <c r="E18" s="101"/>
      <c r="F18" s="102"/>
      <c r="G18" s="102"/>
      <c r="H18" s="102"/>
      <c r="I18" s="99" t="str">
        <f>IF(COUNTIF(' 2-3-6. Travel&amp;Costs of Stay'!R:R,"Error")&lt;=1,"","Please check data in Tab '2-3-6. Travel&amp;Costs of Stay'")</f>
        <v/>
      </c>
      <c r="J18" s="99"/>
      <c r="K18" s="99"/>
      <c r="L18" s="100"/>
    </row>
    <row r="19" spans="2:12" x14ac:dyDescent="0.35">
      <c r="B19" s="104" t="s">
        <v>187</v>
      </c>
      <c r="C19" s="104"/>
      <c r="D19" s="9">
        <f>' 2-3-6. Travel&amp;Costs of Stay'!D9</f>
        <v>231140</v>
      </c>
      <c r="E19" s="111"/>
      <c r="F19" s="112"/>
      <c r="G19" s="112"/>
      <c r="H19" s="112"/>
      <c r="I19" s="99" t="str">
        <f>IF(COUNTIF(' 2-3-6. Travel&amp;Costs of Stay'!R:R,"Error")&lt;=1,"","Please check data in Tab '2-3-6. Travel&amp;Costs of Stay'")</f>
        <v/>
      </c>
      <c r="J19" s="99"/>
      <c r="K19" s="99"/>
      <c r="L19" s="100"/>
    </row>
    <row r="20" spans="2:12" x14ac:dyDescent="0.35">
      <c r="B20" s="104" t="s">
        <v>185</v>
      </c>
      <c r="C20" s="104"/>
      <c r="D20" s="9">
        <f>'4. Equipment Costs'!C4</f>
        <v>210000</v>
      </c>
      <c r="E20" s="101" t="str">
        <f>"Cannot exceed 30% of Total Grant requested"</f>
        <v>Cannot exceed 30% of Total Grant requested</v>
      </c>
      <c r="F20" s="102"/>
      <c r="G20" s="102"/>
      <c r="H20" s="102"/>
      <c r="I20" s="99" t="str">
        <f>IF(COUNTIF('4. Equipment Costs'!I:I,"Error")&lt;=1,"","Please check data in Tab '4. Equipment Costs''")</f>
        <v/>
      </c>
      <c r="J20" s="99"/>
      <c r="K20" s="99"/>
      <c r="L20" s="100"/>
    </row>
    <row r="21" spans="2:12" x14ac:dyDescent="0.35">
      <c r="B21" s="104" t="s">
        <v>186</v>
      </c>
      <c r="C21" s="104"/>
      <c r="D21" s="9">
        <f>'5. Subcontracting Costs'!C4</f>
        <v>59000</v>
      </c>
      <c r="E21" s="101" t="str">
        <f>"Cannot exceed 10% of Total Grant requested"</f>
        <v>Cannot exceed 10% of Total Grant requested</v>
      </c>
      <c r="F21" s="102"/>
      <c r="G21" s="102"/>
      <c r="H21" s="102"/>
      <c r="I21" s="99" t="str">
        <f>IF(COUNTIF('5. Subcontracting Costs'!I:I,"Error")&lt;=1,"","Please check data in Tab '5. Subcontracting Costs'")</f>
        <v/>
      </c>
      <c r="J21" s="99"/>
      <c r="K21" s="99"/>
      <c r="L21" s="100"/>
    </row>
    <row r="22" spans="2:12" x14ac:dyDescent="0.35">
      <c r="B22" s="104" t="s">
        <v>340</v>
      </c>
      <c r="C22" s="104"/>
      <c r="D22" s="9">
        <f>IF(OR(C27="",D27=""),0,' 2-3-6. Travel&amp;Costs of Stay'!D10)</f>
        <v>96000</v>
      </c>
      <c r="E22" s="101"/>
      <c r="F22" s="102"/>
      <c r="G22" s="102"/>
      <c r="H22" s="102"/>
      <c r="I22" s="99" t="str">
        <f>IF(COUNTIF(' 2-3-6. Travel&amp;Costs of Stay'!R:R,"Error")&lt;=1,"","Please check data in Tab '2-3-6. Travel&amp;Costs of Stay'")</f>
        <v/>
      </c>
      <c r="J22" s="99"/>
      <c r="K22" s="99"/>
      <c r="L22" s="100"/>
    </row>
    <row r="23" spans="2:12" ht="24.9" customHeight="1" x14ac:dyDescent="0.35">
      <c r="B23" s="105" t="s">
        <v>332</v>
      </c>
      <c r="C23" s="106"/>
      <c r="D23" s="10">
        <f>SUM(D17:D22)</f>
        <v>963652</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x14ac:dyDescent="0.35">
      <c r="B24" s="4"/>
      <c r="C24" s="4"/>
      <c r="D24" s="4"/>
      <c r="E24" s="4"/>
      <c r="F24" s="4"/>
      <c r="G24" s="4"/>
      <c r="H24" s="4"/>
      <c r="I24" s="4"/>
      <c r="J24" s="4"/>
      <c r="K24" s="4"/>
    </row>
    <row r="25" spans="2:12" ht="24.9" customHeight="1" x14ac:dyDescent="0.35">
      <c r="B25" s="103" t="s">
        <v>179</v>
      </c>
      <c r="C25" s="103"/>
      <c r="D25" s="103"/>
      <c r="E25" s="103"/>
      <c r="F25" s="103"/>
      <c r="G25" s="103"/>
      <c r="H25" s="103"/>
      <c r="I25" s="103"/>
      <c r="J25" s="103"/>
      <c r="K25" s="103"/>
      <c r="L25" s="103"/>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362</v>
      </c>
      <c r="D27" s="14" t="s">
        <v>98</v>
      </c>
      <c r="E27" s="15" t="str">
        <f t="shared" ref="E27:E81" si="0">IFERROR(IF(D27&lt;&gt;"",VLOOKUP(D27,CountryType,2,FALSE),""),"Country not found")</f>
        <v>Programme Countries</v>
      </c>
      <c r="F27" s="16">
        <f>SUMIF('1. Staff costs'!C:C,B27,'1. Staff costs'!S:S)</f>
        <v>5510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25510</v>
      </c>
    </row>
    <row r="28" spans="2:12" x14ac:dyDescent="0.35">
      <c r="B28" s="44" t="s">
        <v>9</v>
      </c>
      <c r="C28" s="18" t="s">
        <v>363</v>
      </c>
      <c r="D28" s="14" t="s">
        <v>98</v>
      </c>
      <c r="E28" s="15" t="str">
        <f t="shared" si="0"/>
        <v>Programme Countries</v>
      </c>
      <c r="F28" s="16">
        <f>SUMIF('1. Staff costs'!C:C,B28,'1. Staff costs'!S:S)</f>
        <v>708</v>
      </c>
      <c r="G28" s="16">
        <f>SUMIF(' 2-3-6. Travel&amp;Costs of Stay'!C:C,B28,' 2-3-6. Travel&amp;Costs of Stay'!O:O)</f>
        <v>0</v>
      </c>
      <c r="H28" s="16">
        <f>SUMIF(' 2-3-6. Travel&amp;Costs of Stay'!C:C,B28,' 2-3-6. Travel&amp;Costs of Stay'!P:P)</f>
        <v>10330</v>
      </c>
      <c r="I28" s="16">
        <f>SUMIF('4. Equipment Costs'!C:C,B28,'4. Equipment Costs'!H:H)</f>
        <v>0</v>
      </c>
      <c r="J28" s="16">
        <f>SUMIF('5. Subcontracting Costs'!C:C,B28,'5. Subcontracting Costs'!H:H)</f>
        <v>0</v>
      </c>
      <c r="K28" s="16">
        <f>SUMIF(' 2-3-6. Travel&amp;Costs of Stay'!C:C,B28,' 2-3-6. Travel&amp;Costs of Stay'!N:N)</f>
        <v>7200</v>
      </c>
      <c r="L28" s="17">
        <f t="shared" ref="L28:L81" si="1">IF(OR(C28="",D28=""),0,SUM(F28:K28))</f>
        <v>18238</v>
      </c>
    </row>
    <row r="29" spans="2:12" x14ac:dyDescent="0.35">
      <c r="B29" s="44" t="s">
        <v>10</v>
      </c>
      <c r="C29" s="18" t="s">
        <v>364</v>
      </c>
      <c r="D29" s="14" t="s">
        <v>98</v>
      </c>
      <c r="E29" s="15" t="str">
        <f t="shared" si="0"/>
        <v>Programme Countries</v>
      </c>
      <c r="F29" s="16">
        <f>SUMIF('1. Staff costs'!C:C,B29,'1. Staff costs'!S:S)</f>
        <v>234</v>
      </c>
      <c r="G29" s="16">
        <f>SUMIF(' 2-3-6. Travel&amp;Costs of Stay'!C:C,B29,' 2-3-6. Travel&amp;Costs of Stay'!O:O)</f>
        <v>0</v>
      </c>
      <c r="H29" s="16">
        <f>SUMIF(' 2-3-6. Travel&amp;Costs of Stay'!C:C,B29,' 2-3-6. Travel&amp;Costs of Stay'!P:P)</f>
        <v>3180</v>
      </c>
      <c r="I29" s="16">
        <f>SUMIF('4. Equipment Costs'!C:C,B29,'4. Equipment Costs'!H:H)</f>
        <v>0</v>
      </c>
      <c r="J29" s="16">
        <f>SUMIF('5. Subcontracting Costs'!C:C,B29,'5. Subcontracting Costs'!H:H)</f>
        <v>0</v>
      </c>
      <c r="K29" s="16">
        <f>SUMIF(' 2-3-6. Travel&amp;Costs of Stay'!C:C,B29,' 2-3-6. Travel&amp;Costs of Stay'!N:N)</f>
        <v>4800</v>
      </c>
      <c r="L29" s="17">
        <f t="shared" si="1"/>
        <v>8214</v>
      </c>
    </row>
    <row r="30" spans="2:12" x14ac:dyDescent="0.35">
      <c r="B30" s="44" t="s">
        <v>11</v>
      </c>
      <c r="C30" s="18" t="s">
        <v>365</v>
      </c>
      <c r="D30" s="14" t="s">
        <v>98</v>
      </c>
      <c r="E30" s="15" t="str">
        <f t="shared" si="0"/>
        <v>Programme Countries</v>
      </c>
      <c r="F30" s="16">
        <f>SUMIF('1. Staff costs'!C:C,B30,'1. Staff costs'!S:S)</f>
        <v>6258</v>
      </c>
      <c r="G30" s="16">
        <f>SUMIF(' 2-3-6. Travel&amp;Costs of Stay'!C:C,B30,' 2-3-6. Travel&amp;Costs of Stay'!O:O)</f>
        <v>0</v>
      </c>
      <c r="H30" s="16">
        <f>SUMIF(' 2-3-6. Travel&amp;Costs of Stay'!C:C,B30,' 2-3-6. Travel&amp;Costs of Stay'!P:P)</f>
        <v>10690</v>
      </c>
      <c r="I30" s="16">
        <f>SUMIF('4. Equipment Costs'!C:C,B30,'4. Equipment Costs'!H:H)</f>
        <v>0</v>
      </c>
      <c r="J30" s="16">
        <f>SUMIF('5. Subcontracting Costs'!C:C,B30,'5. Subcontracting Costs'!H:H)</f>
        <v>20000</v>
      </c>
      <c r="K30" s="16">
        <f>SUMIF(' 2-3-6. Travel&amp;Costs of Stay'!C:C,B30,' 2-3-6. Travel&amp;Costs of Stay'!N:N)</f>
        <v>7200</v>
      </c>
      <c r="L30" s="17">
        <f t="shared" si="1"/>
        <v>44148</v>
      </c>
    </row>
    <row r="31" spans="2:12" x14ac:dyDescent="0.35">
      <c r="B31" s="44" t="s">
        <v>12</v>
      </c>
      <c r="C31" s="18" t="s">
        <v>366</v>
      </c>
      <c r="D31" s="14" t="s">
        <v>98</v>
      </c>
      <c r="E31" s="15" t="str">
        <f t="shared" si="0"/>
        <v>Programme Countries</v>
      </c>
      <c r="F31" s="16">
        <f>SUMIF('1. Staff costs'!C:C,B31,'1. Staff costs'!S:S)</f>
        <v>39363</v>
      </c>
      <c r="G31" s="16">
        <f>SUMIF(' 2-3-6. Travel&amp;Costs of Stay'!C:C,B31,' 2-3-6. Travel&amp;Costs of Stay'!O:O)</f>
        <v>0</v>
      </c>
      <c r="H31" s="16">
        <f>SUMIF(' 2-3-6. Travel&amp;Costs of Stay'!C:C,B31,' 2-3-6. Travel&amp;Costs of Stay'!P:P)</f>
        <v>28110</v>
      </c>
      <c r="I31" s="16">
        <f>SUMIF('4. Equipment Costs'!C:C,B31,'4. Equipment Costs'!H:H)</f>
        <v>0</v>
      </c>
      <c r="J31" s="16">
        <f>SUMIF('5. Subcontracting Costs'!C:C,B31,'5. Subcontracting Costs'!H:H)</f>
        <v>0</v>
      </c>
      <c r="K31" s="16">
        <f>SUMIF(' 2-3-6. Travel&amp;Costs of Stay'!C:C,B31,' 2-3-6. Travel&amp;Costs of Stay'!N:N)</f>
        <v>16800</v>
      </c>
      <c r="L31" s="17">
        <f t="shared" si="1"/>
        <v>84273</v>
      </c>
    </row>
    <row r="32" spans="2:12" x14ac:dyDescent="0.35">
      <c r="B32" s="44" t="s">
        <v>13</v>
      </c>
      <c r="C32" s="18" t="s">
        <v>367</v>
      </c>
      <c r="D32" s="14" t="s">
        <v>34</v>
      </c>
      <c r="E32" s="15" t="str">
        <f t="shared" si="0"/>
        <v>Programme Countries</v>
      </c>
      <c r="F32" s="16">
        <f>SUMIF('1. Staff costs'!C:C,B32,'1. Staff costs'!S:S)</f>
        <v>56882</v>
      </c>
      <c r="G32" s="16">
        <f>SUMIF(' 2-3-6. Travel&amp;Costs of Stay'!C:C,B32,' 2-3-6. Travel&amp;Costs of Stay'!O:O)</f>
        <v>0</v>
      </c>
      <c r="H32" s="16">
        <f>SUMIF(' 2-3-6. Travel&amp;Costs of Stay'!C:C,B32,' 2-3-6. Travel&amp;Costs of Stay'!P:P)</f>
        <v>20000</v>
      </c>
      <c r="I32" s="16">
        <f>SUMIF('4. Equipment Costs'!C:C,B32,'4. Equipment Costs'!H:H)</f>
        <v>0</v>
      </c>
      <c r="J32" s="16">
        <f>SUMIF('5. Subcontracting Costs'!C:C,B32,'5. Subcontracting Costs'!H:H)</f>
        <v>0</v>
      </c>
      <c r="K32" s="16">
        <f>SUMIF(' 2-3-6. Travel&amp;Costs of Stay'!C:C,B32,' 2-3-6. Travel&amp;Costs of Stay'!N:N)</f>
        <v>9600</v>
      </c>
      <c r="L32" s="17">
        <f t="shared" si="1"/>
        <v>86482</v>
      </c>
    </row>
    <row r="33" spans="2:12" x14ac:dyDescent="0.35">
      <c r="B33" s="44" t="s">
        <v>14</v>
      </c>
      <c r="C33" s="18" t="s">
        <v>368</v>
      </c>
      <c r="D33" s="14" t="s">
        <v>31</v>
      </c>
      <c r="E33" s="15" t="str">
        <f t="shared" si="0"/>
        <v>Programme Countries</v>
      </c>
      <c r="F33" s="16">
        <f>SUMIF('1. Staff costs'!C:C,B33,'1. Staff costs'!S:S)</f>
        <v>53746</v>
      </c>
      <c r="G33" s="16">
        <f>SUMIF(' 2-3-6. Travel&amp;Costs of Stay'!C:C,B33,' 2-3-6. Travel&amp;Costs of Stay'!O:O)</f>
        <v>4125</v>
      </c>
      <c r="H33" s="16">
        <f>SUMIF(' 2-3-6. Travel&amp;Costs of Stay'!C:C,B33,' 2-3-6. Travel&amp;Costs of Stay'!P:P)</f>
        <v>44040</v>
      </c>
      <c r="I33" s="16">
        <f>SUMIF('4. Equipment Costs'!C:C,B33,'4. Equipment Costs'!H:H)</f>
        <v>0</v>
      </c>
      <c r="J33" s="16">
        <f>SUMIF('5. Subcontracting Costs'!C:C,B33,'5. Subcontracting Costs'!H:H)</f>
        <v>19000</v>
      </c>
      <c r="K33" s="16">
        <f>SUMIF(' 2-3-6. Travel&amp;Costs of Stay'!C:C,B33,' 2-3-6. Travel&amp;Costs of Stay'!N:N)</f>
        <v>7200</v>
      </c>
      <c r="L33" s="17">
        <f t="shared" si="1"/>
        <v>128111</v>
      </c>
    </row>
    <row r="34" spans="2:12" x14ac:dyDescent="0.35">
      <c r="B34" s="44" t="s">
        <v>15</v>
      </c>
      <c r="C34" s="18" t="s">
        <v>369</v>
      </c>
      <c r="D34" s="14" t="s">
        <v>45</v>
      </c>
      <c r="E34" s="15" t="str">
        <f t="shared" si="0"/>
        <v>Programme Countries</v>
      </c>
      <c r="F34" s="16">
        <f>SUMIF('1. Staff costs'!C:C,B34,'1. Staff costs'!S:S)</f>
        <v>18820</v>
      </c>
      <c r="G34" s="16">
        <f>SUMIF(' 2-3-6. Travel&amp;Costs of Stay'!C:C,B34,' 2-3-6. Travel&amp;Costs of Stay'!O:O)</f>
        <v>5400</v>
      </c>
      <c r="H34" s="16">
        <f>SUMIF(' 2-3-6. Travel&amp;Costs of Stay'!C:C,B34,' 2-3-6. Travel&amp;Costs of Stay'!P:P)</f>
        <v>43380</v>
      </c>
      <c r="I34" s="16">
        <f>SUMIF('4. Equipment Costs'!C:C,B34,'4. Equipment Costs'!H:H)</f>
        <v>0</v>
      </c>
      <c r="J34" s="16">
        <f>SUMIF('5. Subcontracting Costs'!C:C,B34,'5. Subcontracting Costs'!H:H)</f>
        <v>0</v>
      </c>
      <c r="K34" s="16">
        <f>SUMIF(' 2-3-6. Travel&amp;Costs of Stay'!C:C,B34,' 2-3-6. Travel&amp;Costs of Stay'!N:N)</f>
        <v>4800</v>
      </c>
      <c r="L34" s="17">
        <f t="shared" si="1"/>
        <v>72400</v>
      </c>
    </row>
    <row r="35" spans="2:12" x14ac:dyDescent="0.35">
      <c r="B35" s="44" t="s">
        <v>16</v>
      </c>
      <c r="C35" s="18" t="s">
        <v>370</v>
      </c>
      <c r="D35" s="14" t="s">
        <v>3</v>
      </c>
      <c r="E35" s="15" t="str">
        <f t="shared" si="0"/>
        <v>Programme Countries</v>
      </c>
      <c r="F35" s="16">
        <f>SUMIF('1. Staff costs'!C:C,B35,'1. Staff costs'!S:S)</f>
        <v>34852</v>
      </c>
      <c r="G35" s="16">
        <f>SUMIF(' 2-3-6. Travel&amp;Costs of Stay'!C:C,B35,' 2-3-6. Travel&amp;Costs of Stay'!O:O)</f>
        <v>0</v>
      </c>
      <c r="H35" s="16">
        <f>SUMIF(' 2-3-6. Travel&amp;Costs of Stay'!C:C,B35,' 2-3-6. Travel&amp;Costs of Stay'!P:P)</f>
        <v>10690</v>
      </c>
      <c r="I35" s="16">
        <f>SUMIF('4. Equipment Costs'!C:C,B35,'4. Equipment Costs'!H:H)</f>
        <v>0</v>
      </c>
      <c r="J35" s="16">
        <f>SUMIF('5. Subcontracting Costs'!C:C,B35,'5. Subcontracting Costs'!H:H)</f>
        <v>0</v>
      </c>
      <c r="K35" s="16">
        <f>SUMIF(' 2-3-6. Travel&amp;Costs of Stay'!C:C,B35,' 2-3-6. Travel&amp;Costs of Stay'!N:N)</f>
        <v>7200</v>
      </c>
      <c r="L35" s="17">
        <f t="shared" si="1"/>
        <v>52742</v>
      </c>
    </row>
    <row r="36" spans="2:12" x14ac:dyDescent="0.35">
      <c r="B36" s="44" t="s">
        <v>17</v>
      </c>
      <c r="C36" s="18" t="s">
        <v>371</v>
      </c>
      <c r="D36" s="14" t="s">
        <v>33</v>
      </c>
      <c r="E36" s="15" t="str">
        <f t="shared" si="0"/>
        <v>Programme Countries</v>
      </c>
      <c r="F36" s="16">
        <f>SUMIF('1. Staff costs'!C:C,B36,'1. Staff costs'!S:S)</f>
        <v>34852</v>
      </c>
      <c r="G36" s="16">
        <f>SUMIF(' 2-3-6. Travel&amp;Costs of Stay'!C:C,B36,' 2-3-6. Travel&amp;Costs of Stay'!O:O)</f>
        <v>0</v>
      </c>
      <c r="H36" s="16">
        <f>SUMIF(' 2-3-6. Travel&amp;Costs of Stay'!C:C,B36,' 2-3-6. Travel&amp;Costs of Stay'!P:P)</f>
        <v>10690</v>
      </c>
      <c r="I36" s="16">
        <f>SUMIF('4. Equipment Costs'!C:C,B36,'4. Equipment Costs'!H:H)</f>
        <v>0</v>
      </c>
      <c r="J36" s="16">
        <f>SUMIF('5. Subcontracting Costs'!C:C,B36,'5. Subcontracting Costs'!H:H)</f>
        <v>0</v>
      </c>
      <c r="K36" s="16">
        <f>SUMIF(' 2-3-6. Travel&amp;Costs of Stay'!C:C,B36,' 2-3-6. Travel&amp;Costs of Stay'!N:N)</f>
        <v>7200</v>
      </c>
      <c r="L36" s="17">
        <f t="shared" si="1"/>
        <v>52742</v>
      </c>
    </row>
    <row r="37" spans="2:12" x14ac:dyDescent="0.35">
      <c r="B37" s="44" t="s">
        <v>18</v>
      </c>
      <c r="C37" s="18" t="s">
        <v>372</v>
      </c>
      <c r="D37" s="14" t="s">
        <v>4</v>
      </c>
      <c r="E37" s="15" t="str">
        <f t="shared" si="0"/>
        <v>Programme Countries</v>
      </c>
      <c r="F37" s="16">
        <f>SUMIF('1. Staff costs'!C:C,B37,'1. Staff costs'!S:S)</f>
        <v>35020</v>
      </c>
      <c r="G37" s="16">
        <f>SUMIF(' 2-3-6. Travel&amp;Costs of Stay'!C:C,B37,' 2-3-6. Travel&amp;Costs of Stay'!O:O)</f>
        <v>0</v>
      </c>
      <c r="H37" s="16">
        <f>SUMIF(' 2-3-6. Travel&amp;Costs of Stay'!C:C,B37,' 2-3-6. Travel&amp;Costs of Stay'!P:P)</f>
        <v>9310</v>
      </c>
      <c r="I37" s="16">
        <f>SUMIF('4. Equipment Costs'!C:C,B37,'4. Equipment Costs'!H:H)</f>
        <v>0</v>
      </c>
      <c r="J37" s="16">
        <f>SUMIF('5. Subcontracting Costs'!C:C,B37,'5. Subcontracting Costs'!H:H)</f>
        <v>0</v>
      </c>
      <c r="K37" s="16">
        <f>SUMIF(' 2-3-6. Travel&amp;Costs of Stay'!C:C,B37,' 2-3-6. Travel&amp;Costs of Stay'!N:N)</f>
        <v>2400</v>
      </c>
      <c r="L37" s="17">
        <f t="shared" si="1"/>
        <v>46730</v>
      </c>
    </row>
    <row r="38" spans="2:12" x14ac:dyDescent="0.35">
      <c r="B38" s="44" t="s">
        <v>19</v>
      </c>
      <c r="C38" s="18" t="s">
        <v>373</v>
      </c>
      <c r="D38" s="14" t="s">
        <v>90</v>
      </c>
      <c r="E38" s="15" t="str">
        <f t="shared" si="0"/>
        <v>Partner Countries</v>
      </c>
      <c r="F38" s="16">
        <f>SUMIF('1. Staff costs'!C:C,B38,'1. Staff costs'!S:S)</f>
        <v>12600</v>
      </c>
      <c r="G38" s="16">
        <f>SUMIF(' 2-3-6. Travel&amp;Costs of Stay'!C:C,B38,' 2-3-6. Travel&amp;Costs of Stay'!O:O)</f>
        <v>0</v>
      </c>
      <c r="H38" s="16">
        <f>SUMIF(' 2-3-6. Travel&amp;Costs of Stay'!C:C,B38,' 2-3-6. Travel&amp;Costs of Stay'!P:P)</f>
        <v>9970</v>
      </c>
      <c r="I38" s="16">
        <f>SUMIF('4. Equipment Costs'!C:C,B38,'4. Equipment Costs'!H:H)</f>
        <v>0</v>
      </c>
      <c r="J38" s="16">
        <f>SUMIF('5. Subcontracting Costs'!C:C,B38,'5. Subcontracting Costs'!H:H)</f>
        <v>0</v>
      </c>
      <c r="K38" s="16">
        <f>SUMIF(' 2-3-6. Travel&amp;Costs of Stay'!C:C,B38,' 2-3-6. Travel&amp;Costs of Stay'!N:N)</f>
        <v>4800</v>
      </c>
      <c r="L38" s="17">
        <f t="shared" si="1"/>
        <v>27370</v>
      </c>
    </row>
    <row r="39" spans="2:12" x14ac:dyDescent="0.35">
      <c r="B39" s="44" t="s">
        <v>156</v>
      </c>
      <c r="C39" s="18" t="s">
        <v>374</v>
      </c>
      <c r="D39" s="14" t="s">
        <v>29</v>
      </c>
      <c r="E39" s="15" t="str">
        <f t="shared" si="0"/>
        <v>Programme Countries</v>
      </c>
      <c r="F39" s="16">
        <f>SUMIF('1. Staff costs'!C:C,B39,'1. Staff costs'!S:S)</f>
        <v>36238</v>
      </c>
      <c r="G39" s="16">
        <f>SUMIF(' 2-3-6. Travel&amp;Costs of Stay'!C:C,B39,' 2-3-6. Travel&amp;Costs of Stay'!O:O)</f>
        <v>0</v>
      </c>
      <c r="H39" s="16">
        <f>SUMIF(' 2-3-6. Travel&amp;Costs of Stay'!C:C,B39,' 2-3-6. Travel&amp;Costs of Stay'!P:P)</f>
        <v>10690</v>
      </c>
      <c r="I39" s="16">
        <f>SUMIF('4. Equipment Costs'!C:C,B39,'4. Equipment Costs'!H:H)</f>
        <v>0</v>
      </c>
      <c r="J39" s="16">
        <f>SUMIF('5. Subcontracting Costs'!C:C,B39,'5. Subcontracting Costs'!H:H)</f>
        <v>0</v>
      </c>
      <c r="K39" s="16">
        <f>SUMIF(' 2-3-6. Travel&amp;Costs of Stay'!C:C,B39,' 2-3-6. Travel&amp;Costs of Stay'!N:N)</f>
        <v>7200</v>
      </c>
      <c r="L39" s="17">
        <f t="shared" si="1"/>
        <v>54128</v>
      </c>
    </row>
    <row r="40" spans="2:12" x14ac:dyDescent="0.35">
      <c r="B40" s="44" t="s">
        <v>20</v>
      </c>
      <c r="C40" s="18" t="s">
        <v>375</v>
      </c>
      <c r="D40" s="14" t="s">
        <v>51</v>
      </c>
      <c r="E40" s="15" t="str">
        <f t="shared" si="0"/>
        <v>Programme Countries</v>
      </c>
      <c r="F40" s="16">
        <f>SUMIF('1. Staff costs'!C:C,B40,'1. Staff costs'!S:S)</f>
        <v>10304</v>
      </c>
      <c r="G40" s="16">
        <f>SUMIF(' 2-3-6. Travel&amp;Costs of Stay'!C:C,B40,' 2-3-6. Travel&amp;Costs of Stay'!O:O)</f>
        <v>0</v>
      </c>
      <c r="H40" s="16">
        <f>SUMIF(' 2-3-6. Travel&amp;Costs of Stay'!C:C,B40,' 2-3-6. Travel&amp;Costs of Stay'!P:P)</f>
        <v>10030</v>
      </c>
      <c r="I40" s="16">
        <f>SUMIF('4. Equipment Costs'!C:C,B40,'4. Equipment Costs'!H:H)</f>
        <v>0</v>
      </c>
      <c r="J40" s="16">
        <f>SUMIF('5. Subcontracting Costs'!C:C,B40,'5. Subcontracting Costs'!H:H)</f>
        <v>0</v>
      </c>
      <c r="K40" s="16">
        <f>SUMIF(' 2-3-6. Travel&amp;Costs of Stay'!C:C,B40,' 2-3-6. Travel&amp;Costs of Stay'!N:N)</f>
        <v>4800</v>
      </c>
      <c r="L40" s="17">
        <f t="shared" si="1"/>
        <v>25134</v>
      </c>
    </row>
    <row r="41" spans="2:12" x14ac:dyDescent="0.35">
      <c r="B41" s="44" t="s">
        <v>21</v>
      </c>
      <c r="C41" s="18" t="s">
        <v>376</v>
      </c>
      <c r="D41" s="14" t="s">
        <v>64</v>
      </c>
      <c r="E41" s="15" t="str">
        <f t="shared" si="0"/>
        <v>Partner Countries</v>
      </c>
      <c r="F41" s="16">
        <f>SUMIF('1. Staff costs'!C:C,B41,'1. Staff costs'!S:S)</f>
        <v>12600</v>
      </c>
      <c r="G41" s="16">
        <f>SUMIF(' 2-3-6. Travel&amp;Costs of Stay'!C:C,B41,' 2-3-6. Travel&amp;Costs of Stay'!O:O)</f>
        <v>0</v>
      </c>
      <c r="H41" s="16">
        <f>SUMIF(' 2-3-6. Travel&amp;Costs of Stay'!C:C,B41,' 2-3-6. Travel&amp;Costs of Stay'!P:P)</f>
        <v>10030</v>
      </c>
      <c r="I41" s="16">
        <f>SUMIF('4. Equipment Costs'!C:C,B41,'4. Equipment Costs'!H:H)</f>
        <v>210000</v>
      </c>
      <c r="J41" s="16">
        <f>SUMIF('5. Subcontracting Costs'!C:C,B41,'5. Subcontracting Costs'!H:H)</f>
        <v>0</v>
      </c>
      <c r="K41" s="16">
        <f>SUMIF(' 2-3-6. Travel&amp;Costs of Stay'!C:C,B41,' 2-3-6. Travel&amp;Costs of Stay'!N:N)</f>
        <v>4800</v>
      </c>
      <c r="L41" s="17">
        <f t="shared" si="1"/>
        <v>237430</v>
      </c>
    </row>
    <row r="42" spans="2:12" x14ac:dyDescent="0.35">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650" priority="18">
      <formula>D17&gt;ROUND(D23*0.4,2)</formula>
    </cfRule>
  </conditionalFormatting>
  <conditionalFormatting sqref="D20">
    <cfRule type="expression" dxfId="649" priority="16">
      <formula>D20&gt;ROUND(D23*0.3,2)</formula>
    </cfRule>
  </conditionalFormatting>
  <conditionalFormatting sqref="D21">
    <cfRule type="expression" dxfId="648" priority="14">
      <formula>D21&gt;ROUND(D23*0.1,2)</formula>
    </cfRule>
  </conditionalFormatting>
  <conditionalFormatting sqref="D23">
    <cfRule type="cellIs" dxfId="647" priority="12" operator="notBetween">
      <formula>500000</formula>
      <formula>1000000</formula>
    </cfRule>
  </conditionalFormatting>
  <conditionalFormatting sqref="E18 I18">
    <cfRule type="cellIs" dxfId="646" priority="2" operator="equal">
      <formula>"Exceptional travel costs exceed 80% of total travel costs"</formula>
    </cfRule>
  </conditionalFormatting>
  <conditionalFormatting sqref="I19">
    <cfRule type="cellIs" dxfId="645" priority="1" operator="equal">
      <formula>"Exceptional travel costs exceed 80% of total travel costs"</formula>
    </cfRule>
  </conditionalFormatting>
  <dataValidations xWindow="812" yWindow="151"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643" priority="5" operator="notEqual">
      <formula>"OK"</formula>
    </cfRule>
    <cfRule type="cellIs" dxfId="64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2"/>
  <sheetViews>
    <sheetView showGridLines="0" zoomScale="73" zoomScaleNormal="55" zoomScaleSheetLayoutView="55" workbookViewId="0">
      <pane ySplit="13" topLeftCell="A14" activePane="bottomLeft" state="frozen"/>
      <selection pane="bottomLeft" activeCell="F50" sqref="F50"/>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20" t="s">
        <v>166</v>
      </c>
      <c r="C2" s="120"/>
      <c r="D2" s="120"/>
      <c r="E2" s="120"/>
      <c r="F2" s="120"/>
      <c r="G2" s="120"/>
      <c r="H2" s="120"/>
      <c r="I2" s="120"/>
      <c r="J2" s="120"/>
      <c r="K2" s="120"/>
      <c r="L2" s="120"/>
      <c r="M2" s="120"/>
      <c r="N2" s="120"/>
      <c r="O2" s="120"/>
      <c r="P2" s="120"/>
      <c r="Q2" s="120"/>
      <c r="R2" s="120"/>
      <c r="S2" s="120"/>
      <c r="T2" s="120"/>
    </row>
    <row r="3" spans="2:20" s="20" customFormat="1" ht="8.1" customHeight="1" x14ac:dyDescent="0.35">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x14ac:dyDescent="0.35">
      <c r="B4" s="131"/>
      <c r="C4" s="132"/>
      <c r="D4" s="40" t="s">
        <v>184</v>
      </c>
      <c r="E4" s="40" t="s">
        <v>182</v>
      </c>
      <c r="F4" s="135"/>
      <c r="G4" s="136"/>
      <c r="H4" s="136"/>
      <c r="I4" s="136"/>
      <c r="J4" s="136"/>
      <c r="K4" s="136"/>
      <c r="L4" s="136"/>
      <c r="M4" s="136"/>
      <c r="N4" s="136"/>
      <c r="O4" s="136"/>
      <c r="P4" s="136"/>
      <c r="Q4" s="136"/>
      <c r="R4" s="136"/>
      <c r="S4" s="136"/>
      <c r="T4" s="137"/>
    </row>
    <row r="5" spans="2:20" s="20" customFormat="1" ht="20.100000000000001" customHeight="1" x14ac:dyDescent="0.35">
      <c r="B5" s="127" t="s">
        <v>131</v>
      </c>
      <c r="C5" s="128"/>
      <c r="D5" s="41">
        <f>SUM(H:H)</f>
        <v>284042</v>
      </c>
      <c r="E5" s="24">
        <f>SUMIF(T:T,"&lt;&gt;Error",F:F)</f>
        <v>1460</v>
      </c>
      <c r="F5" s="135"/>
      <c r="G5" s="136"/>
      <c r="H5" s="136"/>
      <c r="I5" s="136"/>
      <c r="J5" s="136"/>
      <c r="K5" s="136"/>
      <c r="L5" s="136"/>
      <c r="M5" s="136"/>
      <c r="N5" s="136"/>
      <c r="O5" s="136"/>
      <c r="P5" s="136"/>
      <c r="Q5" s="136"/>
      <c r="R5" s="136"/>
      <c r="S5" s="136"/>
      <c r="T5" s="137"/>
    </row>
    <row r="6" spans="2:20" s="20" customFormat="1" ht="20.100000000000001" customHeight="1" x14ac:dyDescent="0.35">
      <c r="B6" s="129" t="s">
        <v>129</v>
      </c>
      <c r="C6" s="130"/>
      <c r="D6" s="41">
        <f>SUM(K:K)</f>
        <v>33558</v>
      </c>
      <c r="E6" s="24">
        <f>SUMIF(T:T,"&lt;&gt;Error",I:I)</f>
        <v>267</v>
      </c>
      <c r="F6" s="135"/>
      <c r="G6" s="136"/>
      <c r="H6" s="136"/>
      <c r="I6" s="136"/>
      <c r="J6" s="136"/>
      <c r="K6" s="136"/>
      <c r="L6" s="136"/>
      <c r="M6" s="136"/>
      <c r="N6" s="136"/>
      <c r="O6" s="136"/>
      <c r="P6" s="136"/>
      <c r="Q6" s="136"/>
      <c r="R6" s="136"/>
      <c r="S6" s="136"/>
      <c r="T6" s="137"/>
    </row>
    <row r="7" spans="2:20" s="20" customFormat="1" ht="20.100000000000001" customHeight="1" x14ac:dyDescent="0.35">
      <c r="B7" s="127" t="s">
        <v>314</v>
      </c>
      <c r="C7" s="128"/>
      <c r="D7" s="41">
        <f>SUM(N:N)</f>
        <v>7258</v>
      </c>
      <c r="E7" s="24">
        <f>SUMIF(T:T,"&lt;&gt;Error",L:L)</f>
        <v>95</v>
      </c>
      <c r="F7" s="135"/>
      <c r="G7" s="136"/>
      <c r="H7" s="136"/>
      <c r="I7" s="136"/>
      <c r="J7" s="136"/>
      <c r="K7" s="136"/>
      <c r="L7" s="136"/>
      <c r="M7" s="136"/>
      <c r="N7" s="136"/>
      <c r="O7" s="136"/>
      <c r="P7" s="136"/>
      <c r="Q7" s="136"/>
      <c r="R7" s="136"/>
      <c r="S7" s="136"/>
      <c r="T7" s="137"/>
    </row>
    <row r="8" spans="2:20" s="20" customFormat="1" ht="20.100000000000001" customHeight="1" x14ac:dyDescent="0.35">
      <c r="B8" s="127" t="s">
        <v>313</v>
      </c>
      <c r="C8" s="128"/>
      <c r="D8" s="41">
        <f>SUM(Q:Q)</f>
        <v>33129</v>
      </c>
      <c r="E8" s="24">
        <f>SUMIF(T:T,"&lt;&gt;Error",O:O)</f>
        <v>409</v>
      </c>
      <c r="F8" s="135"/>
      <c r="G8" s="136"/>
      <c r="H8" s="136"/>
      <c r="I8" s="136"/>
      <c r="J8" s="136"/>
      <c r="K8" s="136"/>
      <c r="L8" s="136"/>
      <c r="M8" s="136"/>
      <c r="N8" s="136"/>
      <c r="O8" s="136"/>
      <c r="P8" s="136"/>
      <c r="Q8" s="136"/>
      <c r="R8" s="136"/>
      <c r="S8" s="136"/>
      <c r="T8" s="137"/>
    </row>
    <row r="9" spans="2:20" s="20" customFormat="1" ht="20.100000000000001" customHeight="1" x14ac:dyDescent="0.35">
      <c r="B9" s="133"/>
      <c r="C9" s="134"/>
      <c r="D9" s="26">
        <f>SUM(D5:D8)</f>
        <v>357987</v>
      </c>
      <c r="E9" s="25">
        <f>SUM(E5:E8)</f>
        <v>2231</v>
      </c>
      <c r="F9" s="135"/>
      <c r="G9" s="136"/>
      <c r="H9" s="136"/>
      <c r="I9" s="136"/>
      <c r="J9" s="136"/>
      <c r="K9" s="136"/>
      <c r="L9" s="136"/>
      <c r="M9" s="136"/>
      <c r="N9" s="136"/>
      <c r="O9" s="136"/>
      <c r="P9" s="136"/>
      <c r="Q9" s="136"/>
      <c r="R9" s="136"/>
      <c r="S9" s="136"/>
      <c r="T9" s="137"/>
    </row>
    <row r="10" spans="2:20" s="20" customFormat="1" ht="8.1" customHeight="1" x14ac:dyDescent="0.35">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x14ac:dyDescent="0.35">
      <c r="B11" s="121" t="s">
        <v>162</v>
      </c>
      <c r="C11" s="121" t="s">
        <v>147</v>
      </c>
      <c r="D11" s="121" t="s">
        <v>216</v>
      </c>
      <c r="E11" s="121" t="s">
        <v>217</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198</v>
      </c>
      <c r="S11" s="121" t="s">
        <v>163</v>
      </c>
      <c r="T11" s="121" t="s">
        <v>218</v>
      </c>
    </row>
    <row r="12" spans="2:20" s="45" customFormat="1" ht="42" customHeight="1" x14ac:dyDescent="0.35">
      <c r="B12" s="122"/>
      <c r="C12" s="122"/>
      <c r="D12" s="122"/>
      <c r="E12" s="122"/>
      <c r="F12" s="46" t="s">
        <v>207</v>
      </c>
      <c r="G12" s="27" t="s">
        <v>211</v>
      </c>
      <c r="H12" s="46" t="s">
        <v>164</v>
      </c>
      <c r="I12" s="46" t="s">
        <v>207</v>
      </c>
      <c r="J12" s="27" t="s">
        <v>211</v>
      </c>
      <c r="K12" s="46" t="s">
        <v>164</v>
      </c>
      <c r="L12" s="46" t="s">
        <v>207</v>
      </c>
      <c r="M12" s="27" t="s">
        <v>211</v>
      </c>
      <c r="N12" s="46" t="s">
        <v>164</v>
      </c>
      <c r="O12" s="46" t="s">
        <v>207</v>
      </c>
      <c r="P12" s="27" t="s">
        <v>211</v>
      </c>
      <c r="Q12" s="46" t="s">
        <v>164</v>
      </c>
      <c r="R12" s="122"/>
      <c r="S12" s="122"/>
      <c r="T12" s="12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173</v>
      </c>
      <c r="C14" s="19" t="s">
        <v>12</v>
      </c>
      <c r="D14" s="42" t="str">
        <f t="shared" si="0"/>
        <v>Ministarstvo prosvete, nauke I tehnoloskog razvoja</v>
      </c>
      <c r="E14" s="42" t="str">
        <f t="shared" si="1"/>
        <v>Serbia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173</v>
      </c>
      <c r="C15" s="19" t="s">
        <v>13</v>
      </c>
      <c r="D15" s="42" t="str">
        <f t="shared" ref="D15:D62" si="13">IFERROR(IF(VLOOKUP(C15,PartnerN°Ref,2,FALSE)=0,"",VLOOKUP(C15,PartnerN°Ref,2,FALSE)),"")</f>
        <v>University of Helsinki</v>
      </c>
      <c r="E15" s="42" t="str">
        <f t="shared" ref="E15:E62" si="14">IFERROR(IF(OR(VLOOKUP(C15,PartnerN°Ref,4,FALSE)="Country not found",VLOOKUP(C15,PartnerN°Ref,3,FALSE)=0),"",VLOOKUP(C15,PartnerN°Ref,3,FALSE)),"")</f>
        <v>Finland</v>
      </c>
      <c r="F15" s="28">
        <v>0</v>
      </c>
      <c r="G15" s="29">
        <f t="shared" ref="G15:G62" si="15">IF(T15="Error",0,INDEX(Rates,MATCH(E15,CountryALL,0),MATCH($F$11,Category,0)))</f>
        <v>280</v>
      </c>
      <c r="H15" s="30">
        <f t="shared" ref="H15:H62" si="16">IFERROR(IF(T15="Error",0,ROUND(F15*G15,2)),0)</f>
        <v>0</v>
      </c>
      <c r="I15" s="28">
        <v>0</v>
      </c>
      <c r="J15" s="29">
        <f t="shared" ref="J15:J62" si="17">IF(T15="Error",0,INDEX(Rates,MATCH(E15,CountryALL,0),MATCH($I$11,Category,0)))</f>
        <v>214</v>
      </c>
      <c r="K15" s="30">
        <f t="shared" ref="K15:K62" si="18">IFERROR(IF(T15="Error",0,ROUND(I15*J15,2)),0)</f>
        <v>0</v>
      </c>
      <c r="L15" s="28">
        <v>0</v>
      </c>
      <c r="M15" s="29">
        <f t="shared" ref="M15:M62" si="19">IF(T15="Error",0,INDEX(Rates,MATCH(E15,CountryALL,0),MATCH($L$11,Category,0)))</f>
        <v>162</v>
      </c>
      <c r="N15" s="30">
        <f t="shared" ref="N15:N62" si="20">IFERROR(IF(T15="Error",0,ROUND(L15*M15,2)),0)</f>
        <v>0</v>
      </c>
      <c r="O15" s="28">
        <v>10</v>
      </c>
      <c r="P15" s="29">
        <f t="shared" ref="P15:P62" si="21">IF(T15="Error",0,INDEX(Rates,MATCH(E15,CountryALL,0),MATCH($O$11,Category,0)))</f>
        <v>131</v>
      </c>
      <c r="Q15" s="30">
        <f t="shared" ref="Q15:Q62" si="22">IFERROR(IF(T15="Error",0,ROUND(O15*P15,2)),0)</f>
        <v>1310</v>
      </c>
      <c r="R15" s="31">
        <f t="shared" ref="R15:R62" si="23">IF(T15="Error",0,F15+I15+L15+O15)</f>
        <v>10</v>
      </c>
      <c r="S15" s="32">
        <f t="shared" ref="S15:S62" si="24">IF(T15="Error",0,H15+K15+N15+Q15)</f>
        <v>1310</v>
      </c>
      <c r="T15" s="33" t="str">
        <f t="shared" ref="T15:T62"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173</v>
      </c>
      <c r="C16" s="19" t="s">
        <v>18</v>
      </c>
      <c r="D16" s="42" t="str">
        <f t="shared" si="13"/>
        <v>IMEC</v>
      </c>
      <c r="E16" s="42" t="str">
        <f t="shared" si="14"/>
        <v>Belgium</v>
      </c>
      <c r="F16" s="28">
        <v>0</v>
      </c>
      <c r="G16" s="29">
        <f t="shared" si="15"/>
        <v>280</v>
      </c>
      <c r="H16" s="30">
        <f t="shared" si="16"/>
        <v>0</v>
      </c>
      <c r="I16" s="28">
        <v>0</v>
      </c>
      <c r="J16" s="29">
        <f t="shared" si="17"/>
        <v>214</v>
      </c>
      <c r="K16" s="30">
        <f t="shared" si="18"/>
        <v>0</v>
      </c>
      <c r="L16" s="28">
        <v>0</v>
      </c>
      <c r="M16" s="29">
        <f t="shared" si="19"/>
        <v>162</v>
      </c>
      <c r="N16" s="30">
        <f t="shared" si="20"/>
        <v>0</v>
      </c>
      <c r="O16" s="28">
        <v>10</v>
      </c>
      <c r="P16" s="29">
        <f t="shared" si="21"/>
        <v>131</v>
      </c>
      <c r="Q16" s="30">
        <f t="shared" si="22"/>
        <v>1310</v>
      </c>
      <c r="R16" s="31">
        <f t="shared" si="23"/>
        <v>10</v>
      </c>
      <c r="S16" s="32">
        <f t="shared" si="24"/>
        <v>1310</v>
      </c>
      <c r="T16" s="33" t="str">
        <f t="shared" si="25"/>
        <v/>
      </c>
    </row>
    <row r="17" spans="2:20" s="34" customFormat="1" x14ac:dyDescent="0.3">
      <c r="B17" s="14" t="s">
        <v>173</v>
      </c>
      <c r="C17" s="19" t="s">
        <v>14</v>
      </c>
      <c r="D17" s="42" t="str">
        <f t="shared" si="13"/>
        <v>Radboud University</v>
      </c>
      <c r="E17" s="42" t="str">
        <f t="shared" si="14"/>
        <v>Netherlands</v>
      </c>
      <c r="F17" s="28">
        <v>0</v>
      </c>
      <c r="G17" s="29">
        <f t="shared" si="15"/>
        <v>294</v>
      </c>
      <c r="H17" s="30">
        <f t="shared" si="16"/>
        <v>0</v>
      </c>
      <c r="I17" s="28">
        <v>0</v>
      </c>
      <c r="J17" s="29">
        <f t="shared" si="17"/>
        <v>241</v>
      </c>
      <c r="K17" s="30">
        <f t="shared" si="18"/>
        <v>0</v>
      </c>
      <c r="L17" s="28">
        <v>0</v>
      </c>
      <c r="M17" s="29">
        <f t="shared" si="19"/>
        <v>190</v>
      </c>
      <c r="N17" s="30">
        <f t="shared" si="20"/>
        <v>0</v>
      </c>
      <c r="O17" s="28">
        <v>10</v>
      </c>
      <c r="P17" s="29">
        <f t="shared" si="21"/>
        <v>157</v>
      </c>
      <c r="Q17" s="30">
        <f t="shared" si="22"/>
        <v>1570</v>
      </c>
      <c r="R17" s="31">
        <f t="shared" si="23"/>
        <v>10</v>
      </c>
      <c r="S17" s="32">
        <f t="shared" si="24"/>
        <v>1570</v>
      </c>
      <c r="T17" s="33" t="str">
        <f t="shared" si="25"/>
        <v/>
      </c>
    </row>
    <row r="18" spans="2:20" s="34" customFormat="1" x14ac:dyDescent="0.3">
      <c r="B18" s="14" t="s">
        <v>173</v>
      </c>
      <c r="C18" s="19" t="s">
        <v>19</v>
      </c>
      <c r="D18" s="42" t="str">
        <f t="shared" si="13"/>
        <v>EdukaMont</v>
      </c>
      <c r="E18" s="42" t="str">
        <f t="shared" si="14"/>
        <v>Montenegro</v>
      </c>
      <c r="F18" s="28">
        <v>0</v>
      </c>
      <c r="G18" s="29">
        <f t="shared" si="15"/>
        <v>108</v>
      </c>
      <c r="H18" s="30">
        <f t="shared" si="16"/>
        <v>0</v>
      </c>
      <c r="I18" s="28">
        <v>0</v>
      </c>
      <c r="J18" s="29">
        <f t="shared" si="17"/>
        <v>80</v>
      </c>
      <c r="K18" s="30">
        <f t="shared" si="18"/>
        <v>0</v>
      </c>
      <c r="L18" s="28">
        <v>0</v>
      </c>
      <c r="M18" s="29">
        <f t="shared" si="19"/>
        <v>57</v>
      </c>
      <c r="N18" s="30">
        <f t="shared" si="20"/>
        <v>0</v>
      </c>
      <c r="O18" s="28">
        <v>10</v>
      </c>
      <c r="P18" s="29">
        <f t="shared" si="21"/>
        <v>45</v>
      </c>
      <c r="Q18" s="30">
        <f t="shared" si="22"/>
        <v>450</v>
      </c>
      <c r="R18" s="31">
        <f t="shared" si="23"/>
        <v>10</v>
      </c>
      <c r="S18" s="32">
        <f t="shared" si="24"/>
        <v>450</v>
      </c>
      <c r="T18" s="33" t="str">
        <f t="shared" si="25"/>
        <v/>
      </c>
    </row>
    <row r="19" spans="2:20" s="34" customFormat="1" x14ac:dyDescent="0.3">
      <c r="B19" s="14" t="s">
        <v>173</v>
      </c>
      <c r="C19" s="19" t="s">
        <v>15</v>
      </c>
      <c r="D19" s="42" t="str">
        <f t="shared" si="13"/>
        <v>Universidad de Salamanca</v>
      </c>
      <c r="E19" s="42" t="str">
        <f t="shared" si="14"/>
        <v>Spain</v>
      </c>
      <c r="F19" s="28">
        <v>0</v>
      </c>
      <c r="G19" s="29">
        <f t="shared" si="15"/>
        <v>164</v>
      </c>
      <c r="H19" s="30">
        <f t="shared" si="16"/>
        <v>0</v>
      </c>
      <c r="I19" s="28">
        <v>0</v>
      </c>
      <c r="J19" s="29">
        <f t="shared" si="17"/>
        <v>137</v>
      </c>
      <c r="K19" s="30">
        <f t="shared" si="18"/>
        <v>0</v>
      </c>
      <c r="L19" s="28">
        <v>0</v>
      </c>
      <c r="M19" s="29">
        <f t="shared" si="19"/>
        <v>102</v>
      </c>
      <c r="N19" s="30">
        <f t="shared" si="20"/>
        <v>0</v>
      </c>
      <c r="O19" s="28">
        <v>10</v>
      </c>
      <c r="P19" s="29">
        <f t="shared" si="21"/>
        <v>78</v>
      </c>
      <c r="Q19" s="30">
        <f t="shared" si="22"/>
        <v>780</v>
      </c>
      <c r="R19" s="31">
        <f t="shared" si="23"/>
        <v>10</v>
      </c>
      <c r="S19" s="32">
        <f t="shared" si="24"/>
        <v>780</v>
      </c>
      <c r="T19" s="33" t="str">
        <f t="shared" si="25"/>
        <v/>
      </c>
    </row>
    <row r="20" spans="2:20" s="34" customFormat="1" x14ac:dyDescent="0.3">
      <c r="B20" s="14" t="s">
        <v>173</v>
      </c>
      <c r="C20" s="19" t="s">
        <v>156</v>
      </c>
      <c r="D20" s="42" t="str">
        <f t="shared" si="13"/>
        <v>Enterprise Ireland</v>
      </c>
      <c r="E20" s="42" t="str">
        <f t="shared" si="14"/>
        <v>Ireland</v>
      </c>
      <c r="F20" s="28">
        <v>0</v>
      </c>
      <c r="G20" s="29">
        <f t="shared" si="15"/>
        <v>294</v>
      </c>
      <c r="H20" s="30">
        <f t="shared" si="16"/>
        <v>0</v>
      </c>
      <c r="I20" s="28">
        <v>0</v>
      </c>
      <c r="J20" s="29">
        <f t="shared" si="17"/>
        <v>241</v>
      </c>
      <c r="K20" s="30">
        <f t="shared" si="18"/>
        <v>0</v>
      </c>
      <c r="L20" s="28">
        <v>0</v>
      </c>
      <c r="M20" s="29">
        <f t="shared" si="19"/>
        <v>190</v>
      </c>
      <c r="N20" s="30">
        <f t="shared" si="20"/>
        <v>0</v>
      </c>
      <c r="O20" s="28">
        <v>10</v>
      </c>
      <c r="P20" s="29">
        <f t="shared" si="21"/>
        <v>157</v>
      </c>
      <c r="Q20" s="30">
        <f t="shared" si="22"/>
        <v>1570</v>
      </c>
      <c r="R20" s="31">
        <f t="shared" si="23"/>
        <v>10</v>
      </c>
      <c r="S20" s="32">
        <f t="shared" si="24"/>
        <v>1570</v>
      </c>
      <c r="T20" s="33" t="str">
        <f t="shared" si="25"/>
        <v/>
      </c>
    </row>
    <row r="21" spans="2:20" s="34" customFormat="1" x14ac:dyDescent="0.3">
      <c r="B21" s="14" t="s">
        <v>173</v>
      </c>
      <c r="C21" s="19" t="s">
        <v>16</v>
      </c>
      <c r="D21" s="42" t="str">
        <f t="shared" si="13"/>
        <v>University of Vienna</v>
      </c>
      <c r="E21" s="42" t="str">
        <f t="shared" si="14"/>
        <v>Austria</v>
      </c>
      <c r="F21" s="28">
        <v>0</v>
      </c>
      <c r="G21" s="29">
        <f t="shared" si="15"/>
        <v>294</v>
      </c>
      <c r="H21" s="30">
        <f t="shared" si="16"/>
        <v>0</v>
      </c>
      <c r="I21" s="28">
        <v>0</v>
      </c>
      <c r="J21" s="29">
        <f t="shared" si="17"/>
        <v>241</v>
      </c>
      <c r="K21" s="30">
        <f t="shared" si="18"/>
        <v>0</v>
      </c>
      <c r="L21" s="28">
        <v>0</v>
      </c>
      <c r="M21" s="29">
        <f t="shared" si="19"/>
        <v>190</v>
      </c>
      <c r="N21" s="30">
        <f t="shared" si="20"/>
        <v>0</v>
      </c>
      <c r="O21" s="28">
        <v>10</v>
      </c>
      <c r="P21" s="29">
        <f t="shared" si="21"/>
        <v>157</v>
      </c>
      <c r="Q21" s="30">
        <f t="shared" si="22"/>
        <v>1570</v>
      </c>
      <c r="R21" s="31">
        <f t="shared" si="23"/>
        <v>10</v>
      </c>
      <c r="S21" s="32">
        <f t="shared" si="24"/>
        <v>1570</v>
      </c>
      <c r="T21" s="33" t="str">
        <f t="shared" si="25"/>
        <v/>
      </c>
    </row>
    <row r="22" spans="2:20" s="34" customFormat="1" x14ac:dyDescent="0.3">
      <c r="B22" s="14" t="s">
        <v>173</v>
      </c>
      <c r="C22" s="19" t="s">
        <v>17</v>
      </c>
      <c r="D22" s="42" t="str">
        <f t="shared" si="13"/>
        <v>Stockholm University</v>
      </c>
      <c r="E22" s="42" t="str">
        <f t="shared" si="14"/>
        <v>Sweden</v>
      </c>
      <c r="F22" s="28">
        <v>0</v>
      </c>
      <c r="G22" s="29">
        <f t="shared" si="15"/>
        <v>294</v>
      </c>
      <c r="H22" s="30">
        <f t="shared" si="16"/>
        <v>0</v>
      </c>
      <c r="I22" s="28">
        <v>0</v>
      </c>
      <c r="J22" s="29">
        <f t="shared" si="17"/>
        <v>241</v>
      </c>
      <c r="K22" s="30">
        <f t="shared" si="18"/>
        <v>0</v>
      </c>
      <c r="L22" s="28">
        <v>0</v>
      </c>
      <c r="M22" s="29">
        <f t="shared" si="19"/>
        <v>190</v>
      </c>
      <c r="N22" s="30">
        <f t="shared" si="20"/>
        <v>0</v>
      </c>
      <c r="O22" s="28">
        <v>10</v>
      </c>
      <c r="P22" s="29">
        <f t="shared" si="21"/>
        <v>157</v>
      </c>
      <c r="Q22" s="30">
        <f t="shared" si="22"/>
        <v>1570</v>
      </c>
      <c r="R22" s="31">
        <f t="shared" si="23"/>
        <v>10</v>
      </c>
      <c r="S22" s="32">
        <f t="shared" si="24"/>
        <v>1570</v>
      </c>
      <c r="T22" s="33" t="str">
        <f t="shared" si="25"/>
        <v/>
      </c>
    </row>
    <row r="23" spans="2:20" s="34" customFormat="1" x14ac:dyDescent="0.3">
      <c r="B23" s="14" t="s">
        <v>173</v>
      </c>
      <c r="C23" s="19" t="s">
        <v>20</v>
      </c>
      <c r="D23" s="42" t="str">
        <f t="shared" si="13"/>
        <v>Uniwersytet Warszawski</v>
      </c>
      <c r="E23" s="42" t="str">
        <f t="shared" si="14"/>
        <v>Poland</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173</v>
      </c>
      <c r="C24" s="19" t="s">
        <v>21</v>
      </c>
      <c r="D24" s="42" t="str">
        <f t="shared" si="13"/>
        <v>InterSoft Education</v>
      </c>
      <c r="E24" s="42" t="str">
        <f t="shared" si="14"/>
        <v>Bosnia and Herzegovina</v>
      </c>
      <c r="F24" s="28">
        <v>0</v>
      </c>
      <c r="G24" s="29">
        <f t="shared" si="15"/>
        <v>108</v>
      </c>
      <c r="H24" s="30">
        <f t="shared" si="16"/>
        <v>0</v>
      </c>
      <c r="I24" s="28">
        <v>0</v>
      </c>
      <c r="J24" s="29">
        <f t="shared" si="17"/>
        <v>80</v>
      </c>
      <c r="K24" s="30">
        <f t="shared" si="18"/>
        <v>0</v>
      </c>
      <c r="L24" s="28">
        <v>0</v>
      </c>
      <c r="M24" s="29">
        <f t="shared" si="19"/>
        <v>57</v>
      </c>
      <c r="N24" s="30">
        <f t="shared" si="20"/>
        <v>0</v>
      </c>
      <c r="O24" s="28">
        <v>10</v>
      </c>
      <c r="P24" s="29">
        <f t="shared" si="21"/>
        <v>45</v>
      </c>
      <c r="Q24" s="30">
        <f t="shared" si="22"/>
        <v>450</v>
      </c>
      <c r="R24" s="31">
        <f t="shared" si="23"/>
        <v>10</v>
      </c>
      <c r="S24" s="32">
        <f t="shared" si="24"/>
        <v>450</v>
      </c>
      <c r="T24" s="33" t="str">
        <f t="shared" si="25"/>
        <v/>
      </c>
    </row>
    <row r="25" spans="2:20" s="34" customFormat="1" x14ac:dyDescent="0.3">
      <c r="B25" s="14" t="s">
        <v>172</v>
      </c>
      <c r="C25" s="19" t="s">
        <v>8</v>
      </c>
      <c r="D25" s="42" t="str">
        <f t="shared" si="13"/>
        <v>FifthElement</v>
      </c>
      <c r="E25" s="42" t="str">
        <f t="shared" si="14"/>
        <v>Serbia</v>
      </c>
      <c r="F25" s="28">
        <v>19</v>
      </c>
      <c r="G25" s="29">
        <f t="shared" si="15"/>
        <v>88</v>
      </c>
      <c r="H25" s="30">
        <f t="shared" si="16"/>
        <v>1672</v>
      </c>
      <c r="I25" s="28">
        <v>37</v>
      </c>
      <c r="J25" s="29">
        <f t="shared" si="17"/>
        <v>74</v>
      </c>
      <c r="K25" s="30">
        <f t="shared" si="18"/>
        <v>2738</v>
      </c>
      <c r="L25" s="28">
        <v>0</v>
      </c>
      <c r="M25" s="29">
        <f t="shared" si="19"/>
        <v>55</v>
      </c>
      <c r="N25" s="30">
        <f t="shared" si="20"/>
        <v>0</v>
      </c>
      <c r="O25" s="28">
        <v>0</v>
      </c>
      <c r="P25" s="29">
        <f t="shared" si="21"/>
        <v>39</v>
      </c>
      <c r="Q25" s="30">
        <f t="shared" si="22"/>
        <v>0</v>
      </c>
      <c r="R25" s="31">
        <f t="shared" si="23"/>
        <v>56</v>
      </c>
      <c r="S25" s="32">
        <f t="shared" si="24"/>
        <v>4410</v>
      </c>
      <c r="T25" s="33" t="str">
        <f t="shared" si="25"/>
        <v/>
      </c>
    </row>
    <row r="26" spans="2:20" s="34" customFormat="1" x14ac:dyDescent="0.3">
      <c r="B26" s="14" t="s">
        <v>172</v>
      </c>
      <c r="C26" s="19" t="s">
        <v>12</v>
      </c>
      <c r="D26" s="42" t="str">
        <f t="shared" si="13"/>
        <v>Ministarstvo prosvete, nauke I tehnoloskog razvoja</v>
      </c>
      <c r="E26" s="42" t="str">
        <f t="shared" si="14"/>
        <v>Serbia</v>
      </c>
      <c r="F26" s="28">
        <v>143</v>
      </c>
      <c r="G26" s="29">
        <f t="shared" si="15"/>
        <v>88</v>
      </c>
      <c r="H26" s="30">
        <f t="shared" si="16"/>
        <v>12584</v>
      </c>
      <c r="I26" s="28">
        <v>6</v>
      </c>
      <c r="J26" s="29">
        <f t="shared" si="17"/>
        <v>74</v>
      </c>
      <c r="K26" s="30">
        <f t="shared" si="18"/>
        <v>444</v>
      </c>
      <c r="L26" s="28">
        <v>56</v>
      </c>
      <c r="M26" s="29">
        <f t="shared" si="19"/>
        <v>55</v>
      </c>
      <c r="N26" s="30">
        <f t="shared" si="20"/>
        <v>3080</v>
      </c>
      <c r="O26" s="28">
        <v>146</v>
      </c>
      <c r="P26" s="29">
        <f t="shared" si="21"/>
        <v>39</v>
      </c>
      <c r="Q26" s="30">
        <f t="shared" si="22"/>
        <v>5694</v>
      </c>
      <c r="R26" s="31">
        <f t="shared" si="23"/>
        <v>351</v>
      </c>
      <c r="S26" s="32">
        <f t="shared" si="24"/>
        <v>21802</v>
      </c>
      <c r="T26" s="33" t="str">
        <f t="shared" si="25"/>
        <v/>
      </c>
    </row>
    <row r="27" spans="2:20" s="34" customFormat="1" x14ac:dyDescent="0.3">
      <c r="B27" s="14" t="s">
        <v>172</v>
      </c>
      <c r="C27" s="19" t="s">
        <v>11</v>
      </c>
      <c r="D27" s="42" t="str">
        <f t="shared" si="13"/>
        <v>Drustvo za akedmski razvoj (DAR)</v>
      </c>
      <c r="E27" s="42" t="str">
        <f t="shared" si="14"/>
        <v>Serbia</v>
      </c>
      <c r="F27" s="28">
        <v>3</v>
      </c>
      <c r="G27" s="29">
        <f t="shared" si="15"/>
        <v>88</v>
      </c>
      <c r="H27" s="30">
        <f t="shared" si="16"/>
        <v>264</v>
      </c>
      <c r="I27" s="28">
        <v>6</v>
      </c>
      <c r="J27" s="29">
        <f t="shared" si="17"/>
        <v>74</v>
      </c>
      <c r="K27" s="30">
        <f t="shared" si="18"/>
        <v>444</v>
      </c>
      <c r="L27" s="28">
        <v>0</v>
      </c>
      <c r="M27" s="29">
        <f t="shared" si="19"/>
        <v>55</v>
      </c>
      <c r="N27" s="30">
        <f t="shared" si="20"/>
        <v>0</v>
      </c>
      <c r="O27" s="28">
        <v>0</v>
      </c>
      <c r="P27" s="29">
        <f t="shared" si="21"/>
        <v>39</v>
      </c>
      <c r="Q27" s="30">
        <f t="shared" si="22"/>
        <v>0</v>
      </c>
      <c r="R27" s="31">
        <f t="shared" si="23"/>
        <v>9</v>
      </c>
      <c r="S27" s="32">
        <f t="shared" si="24"/>
        <v>708</v>
      </c>
      <c r="T27" s="33" t="str">
        <f t="shared" si="25"/>
        <v/>
      </c>
    </row>
    <row r="28" spans="2:20" s="34" customFormat="1" x14ac:dyDescent="0.3">
      <c r="B28" s="14" t="s">
        <v>172</v>
      </c>
      <c r="C28" s="19" t="s">
        <v>13</v>
      </c>
      <c r="D28" s="42" t="str">
        <f t="shared" si="13"/>
        <v>University of Helsinki</v>
      </c>
      <c r="E28" s="42" t="str">
        <f t="shared" si="14"/>
        <v>Finland</v>
      </c>
      <c r="F28" s="28">
        <v>24</v>
      </c>
      <c r="G28" s="29">
        <f t="shared" si="15"/>
        <v>280</v>
      </c>
      <c r="H28" s="30">
        <f t="shared" si="16"/>
        <v>6720</v>
      </c>
      <c r="I28" s="28">
        <v>21</v>
      </c>
      <c r="J28" s="29">
        <f t="shared" si="17"/>
        <v>214</v>
      </c>
      <c r="K28" s="30">
        <f t="shared" si="18"/>
        <v>4494</v>
      </c>
      <c r="L28" s="28">
        <v>19</v>
      </c>
      <c r="M28" s="29">
        <f t="shared" si="19"/>
        <v>162</v>
      </c>
      <c r="N28" s="30">
        <f t="shared" si="20"/>
        <v>3078</v>
      </c>
      <c r="O28" s="28">
        <v>80</v>
      </c>
      <c r="P28" s="29">
        <f t="shared" si="21"/>
        <v>131</v>
      </c>
      <c r="Q28" s="30">
        <f t="shared" si="22"/>
        <v>10480</v>
      </c>
      <c r="R28" s="31">
        <f t="shared" si="23"/>
        <v>144</v>
      </c>
      <c r="S28" s="32">
        <f t="shared" si="24"/>
        <v>24772</v>
      </c>
      <c r="T28" s="33" t="str">
        <f t="shared" si="25"/>
        <v/>
      </c>
    </row>
    <row r="29" spans="2:20" s="34" customFormat="1" x14ac:dyDescent="0.3">
      <c r="B29" s="14" t="s">
        <v>172</v>
      </c>
      <c r="C29" s="19" t="s">
        <v>18</v>
      </c>
      <c r="D29" s="42" t="str">
        <f t="shared" si="13"/>
        <v>IMEC</v>
      </c>
      <c r="E29" s="42" t="str">
        <f t="shared" si="14"/>
        <v>Belgium</v>
      </c>
      <c r="F29" s="28">
        <v>3</v>
      </c>
      <c r="G29" s="29">
        <f t="shared" si="15"/>
        <v>280</v>
      </c>
      <c r="H29" s="30">
        <f t="shared" si="16"/>
        <v>840</v>
      </c>
      <c r="I29" s="28">
        <v>6</v>
      </c>
      <c r="J29" s="29">
        <f t="shared" si="17"/>
        <v>214</v>
      </c>
      <c r="K29" s="30">
        <f t="shared" si="18"/>
        <v>1284</v>
      </c>
      <c r="L29" s="28">
        <v>0</v>
      </c>
      <c r="M29" s="29">
        <f t="shared" si="19"/>
        <v>162</v>
      </c>
      <c r="N29" s="30">
        <f t="shared" si="20"/>
        <v>0</v>
      </c>
      <c r="O29" s="28">
        <v>6</v>
      </c>
      <c r="P29" s="29">
        <f t="shared" si="21"/>
        <v>131</v>
      </c>
      <c r="Q29" s="30">
        <f t="shared" si="22"/>
        <v>786</v>
      </c>
      <c r="R29" s="31">
        <f t="shared" si="23"/>
        <v>15</v>
      </c>
      <c r="S29" s="32">
        <f t="shared" si="24"/>
        <v>2910</v>
      </c>
      <c r="T29" s="33" t="str">
        <f t="shared" si="25"/>
        <v/>
      </c>
    </row>
    <row r="30" spans="2:20" s="34" customFormat="1" x14ac:dyDescent="0.3">
      <c r="B30" s="14" t="s">
        <v>172</v>
      </c>
      <c r="C30" s="19" t="s">
        <v>14</v>
      </c>
      <c r="D30" s="42" t="str">
        <f t="shared" si="13"/>
        <v>Radboud University</v>
      </c>
      <c r="E30" s="42" t="str">
        <f t="shared" si="14"/>
        <v>Netherlands</v>
      </c>
      <c r="F30" s="28">
        <v>0</v>
      </c>
      <c r="G30" s="29">
        <f t="shared" si="15"/>
        <v>294</v>
      </c>
      <c r="H30" s="30">
        <f t="shared" si="16"/>
        <v>0</v>
      </c>
      <c r="I30" s="28">
        <v>0</v>
      </c>
      <c r="J30" s="29">
        <f t="shared" si="17"/>
        <v>241</v>
      </c>
      <c r="K30" s="30">
        <f t="shared" si="18"/>
        <v>0</v>
      </c>
      <c r="L30" s="28">
        <v>0</v>
      </c>
      <c r="M30" s="29">
        <f t="shared" si="19"/>
        <v>190</v>
      </c>
      <c r="N30" s="30">
        <f t="shared" si="20"/>
        <v>0</v>
      </c>
      <c r="O30" s="28">
        <v>6</v>
      </c>
      <c r="P30" s="29">
        <f t="shared" si="21"/>
        <v>157</v>
      </c>
      <c r="Q30" s="30">
        <f t="shared" si="22"/>
        <v>942</v>
      </c>
      <c r="R30" s="31">
        <f t="shared" si="23"/>
        <v>6</v>
      </c>
      <c r="S30" s="32">
        <f t="shared" si="24"/>
        <v>942</v>
      </c>
      <c r="T30" s="33" t="str">
        <f t="shared" si="25"/>
        <v/>
      </c>
    </row>
    <row r="31" spans="2:20" s="34" customFormat="1" x14ac:dyDescent="0.3">
      <c r="B31" s="14" t="s">
        <v>172</v>
      </c>
      <c r="C31" s="19" t="s">
        <v>19</v>
      </c>
      <c r="D31" s="42" t="str">
        <f t="shared" si="13"/>
        <v>EdukaMont</v>
      </c>
      <c r="E31" s="42" t="str">
        <f t="shared" si="14"/>
        <v>Montenegro</v>
      </c>
      <c r="F31" s="28">
        <v>0</v>
      </c>
      <c r="G31" s="29">
        <f t="shared" si="15"/>
        <v>108</v>
      </c>
      <c r="H31" s="30">
        <f t="shared" si="16"/>
        <v>0</v>
      </c>
      <c r="I31" s="28">
        <v>0</v>
      </c>
      <c r="J31" s="29">
        <f t="shared" si="17"/>
        <v>80</v>
      </c>
      <c r="K31" s="30">
        <f t="shared" si="18"/>
        <v>0</v>
      </c>
      <c r="L31" s="28">
        <v>0</v>
      </c>
      <c r="M31" s="29">
        <f t="shared" si="19"/>
        <v>57</v>
      </c>
      <c r="N31" s="30">
        <f t="shared" si="20"/>
        <v>0</v>
      </c>
      <c r="O31" s="28">
        <v>6</v>
      </c>
      <c r="P31" s="29">
        <f t="shared" si="21"/>
        <v>45</v>
      </c>
      <c r="Q31" s="30">
        <f t="shared" si="22"/>
        <v>270</v>
      </c>
      <c r="R31" s="31">
        <f t="shared" si="23"/>
        <v>6</v>
      </c>
      <c r="S31" s="32">
        <f t="shared" si="24"/>
        <v>270</v>
      </c>
      <c r="T31" s="33" t="str">
        <f t="shared" si="25"/>
        <v/>
      </c>
    </row>
    <row r="32" spans="2:20" s="34" customFormat="1" x14ac:dyDescent="0.3">
      <c r="B32" s="14" t="s">
        <v>172</v>
      </c>
      <c r="C32" s="19" t="s">
        <v>9</v>
      </c>
      <c r="D32" s="42" t="str">
        <f t="shared" si="13"/>
        <v>Univerzitet u Nisu</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172</v>
      </c>
      <c r="C33" s="19" t="s">
        <v>156</v>
      </c>
      <c r="D33" s="42" t="str">
        <f t="shared" si="13"/>
        <v>Enterprise Ireland</v>
      </c>
      <c r="E33" s="42" t="str">
        <f t="shared" si="14"/>
        <v>Ireland</v>
      </c>
      <c r="F33" s="28">
        <v>3</v>
      </c>
      <c r="G33" s="29">
        <f t="shared" si="15"/>
        <v>294</v>
      </c>
      <c r="H33" s="30">
        <f t="shared" si="16"/>
        <v>882</v>
      </c>
      <c r="I33" s="28">
        <v>6</v>
      </c>
      <c r="J33" s="29">
        <f t="shared" si="17"/>
        <v>241</v>
      </c>
      <c r="K33" s="30">
        <f t="shared" si="18"/>
        <v>1446</v>
      </c>
      <c r="L33" s="28">
        <v>0</v>
      </c>
      <c r="M33" s="29">
        <f t="shared" si="19"/>
        <v>190</v>
      </c>
      <c r="N33" s="30">
        <f t="shared" si="20"/>
        <v>0</v>
      </c>
      <c r="O33" s="28">
        <v>0</v>
      </c>
      <c r="P33" s="29">
        <f t="shared" si="21"/>
        <v>157</v>
      </c>
      <c r="Q33" s="30">
        <f t="shared" si="22"/>
        <v>0</v>
      </c>
      <c r="R33" s="31">
        <f t="shared" si="23"/>
        <v>9</v>
      </c>
      <c r="S33" s="32">
        <f t="shared" si="24"/>
        <v>2328</v>
      </c>
      <c r="T33" s="33" t="str">
        <f t="shared" si="25"/>
        <v/>
      </c>
    </row>
    <row r="34" spans="2:20" s="34" customFormat="1" x14ac:dyDescent="0.3">
      <c r="B34" s="14" t="s">
        <v>172</v>
      </c>
      <c r="C34" s="19" t="s">
        <v>16</v>
      </c>
      <c r="D34" s="42" t="str">
        <f t="shared" si="13"/>
        <v>University of Vienna</v>
      </c>
      <c r="E34" s="42" t="str">
        <f t="shared" si="14"/>
        <v>Austria</v>
      </c>
      <c r="F34" s="28">
        <v>0</v>
      </c>
      <c r="G34" s="29">
        <f t="shared" si="15"/>
        <v>294</v>
      </c>
      <c r="H34" s="30">
        <f t="shared" si="16"/>
        <v>0</v>
      </c>
      <c r="I34" s="28">
        <v>0</v>
      </c>
      <c r="J34" s="29">
        <f t="shared" si="17"/>
        <v>241</v>
      </c>
      <c r="K34" s="30">
        <f t="shared" si="18"/>
        <v>0</v>
      </c>
      <c r="L34" s="28">
        <v>0</v>
      </c>
      <c r="M34" s="29">
        <f t="shared" si="19"/>
        <v>190</v>
      </c>
      <c r="N34" s="30">
        <f t="shared" si="20"/>
        <v>0</v>
      </c>
      <c r="O34" s="28">
        <v>6</v>
      </c>
      <c r="P34" s="29">
        <f t="shared" si="21"/>
        <v>157</v>
      </c>
      <c r="Q34" s="30">
        <f t="shared" si="22"/>
        <v>942</v>
      </c>
      <c r="R34" s="31">
        <f t="shared" si="23"/>
        <v>6</v>
      </c>
      <c r="S34" s="32">
        <f t="shared" si="24"/>
        <v>942</v>
      </c>
      <c r="T34" s="33" t="str">
        <f t="shared" si="25"/>
        <v/>
      </c>
    </row>
    <row r="35" spans="2:20" s="34" customFormat="1" x14ac:dyDescent="0.3">
      <c r="B35" s="14" t="s">
        <v>172</v>
      </c>
      <c r="C35" s="19" t="s">
        <v>20</v>
      </c>
      <c r="D35" s="42" t="str">
        <f t="shared" si="13"/>
        <v>Uniwersytet Warszawski</v>
      </c>
      <c r="E35" s="42" t="str">
        <f t="shared" si="14"/>
        <v>Poland</v>
      </c>
      <c r="F35" s="28">
        <v>0</v>
      </c>
      <c r="G35" s="29">
        <f t="shared" si="15"/>
        <v>88</v>
      </c>
      <c r="H35" s="30">
        <f t="shared" si="16"/>
        <v>0</v>
      </c>
      <c r="I35" s="28">
        <v>0</v>
      </c>
      <c r="J35" s="29">
        <f t="shared" si="17"/>
        <v>74</v>
      </c>
      <c r="K35" s="30">
        <f t="shared" si="18"/>
        <v>0</v>
      </c>
      <c r="L35" s="28">
        <v>0</v>
      </c>
      <c r="M35" s="29">
        <f t="shared" si="19"/>
        <v>55</v>
      </c>
      <c r="N35" s="30">
        <f t="shared" si="20"/>
        <v>0</v>
      </c>
      <c r="O35" s="28">
        <v>6</v>
      </c>
      <c r="P35" s="29">
        <f t="shared" si="21"/>
        <v>39</v>
      </c>
      <c r="Q35" s="30">
        <f t="shared" si="22"/>
        <v>234</v>
      </c>
      <c r="R35" s="31">
        <f t="shared" si="23"/>
        <v>6</v>
      </c>
      <c r="S35" s="32">
        <f t="shared" si="24"/>
        <v>234</v>
      </c>
      <c r="T35" s="33" t="str">
        <f t="shared" si="25"/>
        <v/>
      </c>
    </row>
    <row r="36" spans="2:20" s="34" customFormat="1" x14ac:dyDescent="0.3">
      <c r="B36" s="14" t="s">
        <v>172</v>
      </c>
      <c r="C36" s="19" t="s">
        <v>17</v>
      </c>
      <c r="D36" s="42" t="str">
        <f t="shared" si="13"/>
        <v>Stockholm University</v>
      </c>
      <c r="E36" s="42" t="str">
        <f t="shared" si="14"/>
        <v>Sweden</v>
      </c>
      <c r="F36" s="28">
        <v>0</v>
      </c>
      <c r="G36" s="29">
        <f t="shared" si="15"/>
        <v>294</v>
      </c>
      <c r="H36" s="30">
        <f t="shared" si="16"/>
        <v>0</v>
      </c>
      <c r="I36" s="28">
        <v>0</v>
      </c>
      <c r="J36" s="29">
        <f t="shared" si="17"/>
        <v>241</v>
      </c>
      <c r="K36" s="30">
        <f t="shared" si="18"/>
        <v>0</v>
      </c>
      <c r="L36" s="28">
        <v>0</v>
      </c>
      <c r="M36" s="29">
        <f t="shared" si="19"/>
        <v>190</v>
      </c>
      <c r="N36" s="30">
        <f t="shared" si="20"/>
        <v>0</v>
      </c>
      <c r="O36" s="28">
        <v>6</v>
      </c>
      <c r="P36" s="29">
        <f t="shared" si="21"/>
        <v>157</v>
      </c>
      <c r="Q36" s="30">
        <f t="shared" si="22"/>
        <v>942</v>
      </c>
      <c r="R36" s="31">
        <f t="shared" si="23"/>
        <v>6</v>
      </c>
      <c r="S36" s="32">
        <f t="shared" si="24"/>
        <v>942</v>
      </c>
      <c r="T36" s="33" t="str">
        <f t="shared" si="25"/>
        <v/>
      </c>
    </row>
    <row r="37" spans="2:20" s="34" customFormat="1" x14ac:dyDescent="0.3">
      <c r="B37" s="14" t="s">
        <v>172</v>
      </c>
      <c r="C37" s="19" t="s">
        <v>21</v>
      </c>
      <c r="D37" s="42" t="str">
        <f t="shared" si="13"/>
        <v>InterSoft Education</v>
      </c>
      <c r="E37" s="42" t="str">
        <f t="shared" si="14"/>
        <v>Bosnia and Herzegovina</v>
      </c>
      <c r="F37" s="28">
        <v>0</v>
      </c>
      <c r="G37" s="29">
        <f t="shared" si="15"/>
        <v>108</v>
      </c>
      <c r="H37" s="30">
        <f t="shared" si="16"/>
        <v>0</v>
      </c>
      <c r="I37" s="28">
        <v>0</v>
      </c>
      <c r="J37" s="29">
        <f t="shared" si="17"/>
        <v>80</v>
      </c>
      <c r="K37" s="30">
        <f t="shared" si="18"/>
        <v>0</v>
      </c>
      <c r="L37" s="28">
        <v>0</v>
      </c>
      <c r="M37" s="29">
        <f t="shared" si="19"/>
        <v>57</v>
      </c>
      <c r="N37" s="30">
        <f t="shared" si="20"/>
        <v>0</v>
      </c>
      <c r="O37" s="28">
        <v>6</v>
      </c>
      <c r="P37" s="29">
        <f t="shared" si="21"/>
        <v>45</v>
      </c>
      <c r="Q37" s="30">
        <f t="shared" si="22"/>
        <v>270</v>
      </c>
      <c r="R37" s="31">
        <f t="shared" si="23"/>
        <v>6</v>
      </c>
      <c r="S37" s="32">
        <f t="shared" si="24"/>
        <v>270</v>
      </c>
      <c r="T37" s="33" t="str">
        <f t="shared" si="25"/>
        <v/>
      </c>
    </row>
    <row r="38" spans="2:20" s="34" customFormat="1" x14ac:dyDescent="0.3">
      <c r="B38" s="14" t="s">
        <v>172</v>
      </c>
      <c r="C38" s="19" t="s">
        <v>10</v>
      </c>
      <c r="D38" s="42" t="str">
        <f t="shared" si="13"/>
        <v>Privredna komora Srbije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318</v>
      </c>
      <c r="C39" s="19" t="s">
        <v>12</v>
      </c>
      <c r="D39" s="42" t="str">
        <f t="shared" si="13"/>
        <v>Ministarstvo prosvete, nauke I tehnoloskog razvoja</v>
      </c>
      <c r="E39" s="42" t="str">
        <f t="shared" si="14"/>
        <v>Serbia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318</v>
      </c>
      <c r="C40" s="19" t="s">
        <v>13</v>
      </c>
      <c r="D40" s="42" t="str">
        <f t="shared" si="13"/>
        <v>University of Helsinki</v>
      </c>
      <c r="E40" s="42" t="str">
        <f t="shared" si="14"/>
        <v>Finland</v>
      </c>
      <c r="F40" s="28">
        <v>90</v>
      </c>
      <c r="G40" s="29">
        <f t="shared" si="15"/>
        <v>280</v>
      </c>
      <c r="H40" s="30">
        <f t="shared" si="16"/>
        <v>25200</v>
      </c>
      <c r="I40" s="28">
        <v>0</v>
      </c>
      <c r="J40" s="29">
        <f t="shared" si="17"/>
        <v>214</v>
      </c>
      <c r="K40" s="30">
        <f t="shared" si="18"/>
        <v>0</v>
      </c>
      <c r="L40" s="28">
        <v>0</v>
      </c>
      <c r="M40" s="29">
        <f t="shared" si="19"/>
        <v>162</v>
      </c>
      <c r="N40" s="30">
        <f t="shared" si="20"/>
        <v>0</v>
      </c>
      <c r="O40" s="28">
        <v>0</v>
      </c>
      <c r="P40" s="29">
        <f t="shared" si="21"/>
        <v>131</v>
      </c>
      <c r="Q40" s="30">
        <f t="shared" si="22"/>
        <v>0</v>
      </c>
      <c r="R40" s="31">
        <f t="shared" si="23"/>
        <v>90</v>
      </c>
      <c r="S40" s="32">
        <f t="shared" si="24"/>
        <v>25200</v>
      </c>
      <c r="T40" s="33" t="str">
        <f t="shared" si="25"/>
        <v/>
      </c>
    </row>
    <row r="41" spans="2:20" s="34" customFormat="1" x14ac:dyDescent="0.3">
      <c r="B41" s="14" t="s">
        <v>318</v>
      </c>
      <c r="C41" s="19" t="s">
        <v>18</v>
      </c>
      <c r="D41" s="42" t="str">
        <f t="shared" si="13"/>
        <v>IMEC</v>
      </c>
      <c r="E41" s="42" t="str">
        <f t="shared" si="14"/>
        <v>Belgium</v>
      </c>
      <c r="F41" s="28">
        <v>90</v>
      </c>
      <c r="G41" s="29">
        <f t="shared" si="15"/>
        <v>280</v>
      </c>
      <c r="H41" s="30">
        <f t="shared" si="16"/>
        <v>25200</v>
      </c>
      <c r="I41" s="28">
        <v>0</v>
      </c>
      <c r="J41" s="29">
        <f t="shared" si="17"/>
        <v>214</v>
      </c>
      <c r="K41" s="30">
        <f t="shared" si="18"/>
        <v>0</v>
      </c>
      <c r="L41" s="28">
        <v>0</v>
      </c>
      <c r="M41" s="29">
        <f t="shared" si="19"/>
        <v>162</v>
      </c>
      <c r="N41" s="30">
        <f t="shared" si="20"/>
        <v>0</v>
      </c>
      <c r="O41" s="28">
        <v>0</v>
      </c>
      <c r="P41" s="29">
        <f t="shared" si="21"/>
        <v>131</v>
      </c>
      <c r="Q41" s="30">
        <f t="shared" si="22"/>
        <v>0</v>
      </c>
      <c r="R41" s="31">
        <f t="shared" si="23"/>
        <v>90</v>
      </c>
      <c r="S41" s="32">
        <f t="shared" si="24"/>
        <v>25200</v>
      </c>
      <c r="T41" s="33" t="str">
        <f t="shared" si="25"/>
        <v/>
      </c>
    </row>
    <row r="42" spans="2:20" s="34" customFormat="1" x14ac:dyDescent="0.3">
      <c r="B42" s="14" t="s">
        <v>318</v>
      </c>
      <c r="C42" s="19" t="s">
        <v>14</v>
      </c>
      <c r="D42" s="42" t="str">
        <f t="shared" si="13"/>
        <v>Radboud University</v>
      </c>
      <c r="E42" s="42" t="str">
        <f t="shared" si="14"/>
        <v>Netherlands</v>
      </c>
      <c r="F42" s="28">
        <v>90</v>
      </c>
      <c r="G42" s="29">
        <f t="shared" si="15"/>
        <v>294</v>
      </c>
      <c r="H42" s="30">
        <f t="shared" si="16"/>
        <v>26460</v>
      </c>
      <c r="I42" s="28">
        <v>54</v>
      </c>
      <c r="J42" s="29">
        <f t="shared" si="17"/>
        <v>241</v>
      </c>
      <c r="K42" s="30">
        <f t="shared" si="18"/>
        <v>13014</v>
      </c>
      <c r="L42" s="28">
        <v>0</v>
      </c>
      <c r="M42" s="29">
        <f t="shared" si="19"/>
        <v>190</v>
      </c>
      <c r="N42" s="30">
        <f t="shared" si="20"/>
        <v>0</v>
      </c>
      <c r="O42" s="28">
        <v>0</v>
      </c>
      <c r="P42" s="29">
        <f t="shared" si="21"/>
        <v>157</v>
      </c>
      <c r="Q42" s="30">
        <f t="shared" si="22"/>
        <v>0</v>
      </c>
      <c r="R42" s="31">
        <f t="shared" si="23"/>
        <v>144</v>
      </c>
      <c r="S42" s="32">
        <f t="shared" si="24"/>
        <v>39474</v>
      </c>
      <c r="T42" s="33" t="str">
        <f t="shared" si="25"/>
        <v/>
      </c>
    </row>
    <row r="43" spans="2:20" s="34" customFormat="1" x14ac:dyDescent="0.3">
      <c r="B43" s="14" t="s">
        <v>318</v>
      </c>
      <c r="C43" s="19" t="s">
        <v>19</v>
      </c>
      <c r="D43" s="42" t="str">
        <f t="shared" si="13"/>
        <v>EdukaMont</v>
      </c>
      <c r="E43" s="42" t="str">
        <f t="shared" si="14"/>
        <v>Montenegro</v>
      </c>
      <c r="F43" s="28">
        <v>90</v>
      </c>
      <c r="G43" s="29">
        <f t="shared" si="15"/>
        <v>108</v>
      </c>
      <c r="H43" s="30">
        <f t="shared" si="16"/>
        <v>9720</v>
      </c>
      <c r="I43" s="28">
        <v>0</v>
      </c>
      <c r="J43" s="29">
        <f t="shared" si="17"/>
        <v>80</v>
      </c>
      <c r="K43" s="30">
        <f t="shared" si="18"/>
        <v>0</v>
      </c>
      <c r="L43" s="28">
        <v>0</v>
      </c>
      <c r="M43" s="29">
        <f t="shared" si="19"/>
        <v>57</v>
      </c>
      <c r="N43" s="30">
        <f t="shared" si="20"/>
        <v>0</v>
      </c>
      <c r="O43" s="28">
        <v>0</v>
      </c>
      <c r="P43" s="29">
        <f t="shared" si="21"/>
        <v>45</v>
      </c>
      <c r="Q43" s="30">
        <f t="shared" si="22"/>
        <v>0</v>
      </c>
      <c r="R43" s="31">
        <f t="shared" si="23"/>
        <v>90</v>
      </c>
      <c r="S43" s="32">
        <f t="shared" si="24"/>
        <v>9720</v>
      </c>
      <c r="T43" s="33" t="str">
        <f t="shared" si="25"/>
        <v/>
      </c>
    </row>
    <row r="44" spans="2:20" s="34" customFormat="1" x14ac:dyDescent="0.3">
      <c r="B44" s="14" t="s">
        <v>318</v>
      </c>
      <c r="C44" s="19" t="s">
        <v>15</v>
      </c>
      <c r="D44" s="42" t="str">
        <f t="shared" si="13"/>
        <v>Universidad de Salamanca</v>
      </c>
      <c r="E44" s="42" t="str">
        <f t="shared" si="14"/>
        <v>Spain</v>
      </c>
      <c r="F44" s="28">
        <v>90</v>
      </c>
      <c r="G44" s="29">
        <f t="shared" si="15"/>
        <v>164</v>
      </c>
      <c r="H44" s="30">
        <f t="shared" si="16"/>
        <v>14760</v>
      </c>
      <c r="I44" s="28">
        <v>0</v>
      </c>
      <c r="J44" s="29">
        <f t="shared" si="17"/>
        <v>137</v>
      </c>
      <c r="K44" s="30">
        <f t="shared" si="18"/>
        <v>0</v>
      </c>
      <c r="L44" s="28">
        <v>0</v>
      </c>
      <c r="M44" s="29">
        <f t="shared" si="19"/>
        <v>102</v>
      </c>
      <c r="N44" s="30">
        <f t="shared" si="20"/>
        <v>0</v>
      </c>
      <c r="O44" s="28">
        <v>0</v>
      </c>
      <c r="P44" s="29">
        <f t="shared" si="21"/>
        <v>78</v>
      </c>
      <c r="Q44" s="30">
        <f t="shared" si="22"/>
        <v>0</v>
      </c>
      <c r="R44" s="31">
        <f t="shared" si="23"/>
        <v>90</v>
      </c>
      <c r="S44" s="32">
        <f t="shared" si="24"/>
        <v>14760</v>
      </c>
      <c r="T44" s="33" t="str">
        <f t="shared" si="25"/>
        <v/>
      </c>
    </row>
    <row r="45" spans="2:20" s="34" customFormat="1" x14ac:dyDescent="0.3">
      <c r="B45" s="14" t="s">
        <v>318</v>
      </c>
      <c r="C45" s="19" t="s">
        <v>156</v>
      </c>
      <c r="D45" s="42" t="str">
        <f t="shared" si="13"/>
        <v>Enterprise Ireland</v>
      </c>
      <c r="E45" s="42" t="str">
        <f t="shared" si="14"/>
        <v>Ireland</v>
      </c>
      <c r="F45" s="28">
        <v>90</v>
      </c>
      <c r="G45" s="29">
        <f t="shared" si="15"/>
        <v>294</v>
      </c>
      <c r="H45" s="30">
        <f t="shared" si="16"/>
        <v>26460</v>
      </c>
      <c r="I45" s="28">
        <v>0</v>
      </c>
      <c r="J45" s="29">
        <f t="shared" si="17"/>
        <v>241</v>
      </c>
      <c r="K45" s="30">
        <f t="shared" si="18"/>
        <v>0</v>
      </c>
      <c r="L45" s="28">
        <v>0</v>
      </c>
      <c r="M45" s="29">
        <f t="shared" si="19"/>
        <v>190</v>
      </c>
      <c r="N45" s="30">
        <f t="shared" si="20"/>
        <v>0</v>
      </c>
      <c r="O45" s="28">
        <v>0</v>
      </c>
      <c r="P45" s="29">
        <f t="shared" si="21"/>
        <v>157</v>
      </c>
      <c r="Q45" s="30">
        <f t="shared" si="22"/>
        <v>0</v>
      </c>
      <c r="R45" s="31">
        <f t="shared" si="23"/>
        <v>90</v>
      </c>
      <c r="S45" s="32">
        <f t="shared" si="24"/>
        <v>26460</v>
      </c>
      <c r="T45" s="33" t="str">
        <f t="shared" si="25"/>
        <v/>
      </c>
    </row>
    <row r="46" spans="2:20" s="34" customFormat="1" x14ac:dyDescent="0.3">
      <c r="B46" s="14" t="s">
        <v>318</v>
      </c>
      <c r="C46" s="19" t="s">
        <v>16</v>
      </c>
      <c r="D46" s="42" t="str">
        <f t="shared" si="13"/>
        <v>University of Vienna</v>
      </c>
      <c r="E46" s="42" t="str">
        <f t="shared" si="14"/>
        <v>Austria</v>
      </c>
      <c r="F46" s="28">
        <v>90</v>
      </c>
      <c r="G46" s="29">
        <f t="shared" si="15"/>
        <v>294</v>
      </c>
      <c r="H46" s="30">
        <f t="shared" si="16"/>
        <v>26460</v>
      </c>
      <c r="I46" s="28">
        <v>0</v>
      </c>
      <c r="J46" s="29">
        <f t="shared" si="17"/>
        <v>241</v>
      </c>
      <c r="K46" s="30">
        <f t="shared" si="18"/>
        <v>0</v>
      </c>
      <c r="L46" s="28">
        <v>0</v>
      </c>
      <c r="M46" s="29">
        <f t="shared" si="19"/>
        <v>190</v>
      </c>
      <c r="N46" s="30">
        <f t="shared" si="20"/>
        <v>0</v>
      </c>
      <c r="O46" s="28">
        <v>0</v>
      </c>
      <c r="P46" s="29">
        <f t="shared" si="21"/>
        <v>157</v>
      </c>
      <c r="Q46" s="30">
        <f t="shared" si="22"/>
        <v>0</v>
      </c>
      <c r="R46" s="31">
        <f t="shared" si="23"/>
        <v>90</v>
      </c>
      <c r="S46" s="32">
        <f t="shared" si="24"/>
        <v>26460</v>
      </c>
      <c r="T46" s="33" t="str">
        <f t="shared" si="25"/>
        <v/>
      </c>
    </row>
    <row r="47" spans="2:20" s="34" customFormat="1" x14ac:dyDescent="0.3">
      <c r="B47" s="14" t="s">
        <v>318</v>
      </c>
      <c r="C47" s="19" t="s">
        <v>20</v>
      </c>
      <c r="D47" s="42" t="str">
        <f t="shared" si="13"/>
        <v>Uniwersytet Warszawski</v>
      </c>
      <c r="E47" s="42" t="str">
        <f t="shared" si="14"/>
        <v>Poland</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318</v>
      </c>
      <c r="C48" s="19" t="s">
        <v>17</v>
      </c>
      <c r="D48" s="42" t="str">
        <f t="shared" si="13"/>
        <v>Stockholm University</v>
      </c>
      <c r="E48" s="42" t="str">
        <f t="shared" si="14"/>
        <v>Sweden</v>
      </c>
      <c r="F48" s="28">
        <v>90</v>
      </c>
      <c r="G48" s="29">
        <f t="shared" si="15"/>
        <v>294</v>
      </c>
      <c r="H48" s="30">
        <f t="shared" si="16"/>
        <v>26460</v>
      </c>
      <c r="I48" s="28">
        <v>0</v>
      </c>
      <c r="J48" s="29">
        <f t="shared" si="17"/>
        <v>241</v>
      </c>
      <c r="K48" s="30">
        <f t="shared" si="18"/>
        <v>0</v>
      </c>
      <c r="L48" s="28">
        <v>0</v>
      </c>
      <c r="M48" s="29">
        <f t="shared" si="19"/>
        <v>190</v>
      </c>
      <c r="N48" s="30">
        <f t="shared" si="20"/>
        <v>0</v>
      </c>
      <c r="O48" s="28">
        <v>0</v>
      </c>
      <c r="P48" s="29">
        <f t="shared" si="21"/>
        <v>157</v>
      </c>
      <c r="Q48" s="30">
        <f t="shared" si="22"/>
        <v>0</v>
      </c>
      <c r="R48" s="31">
        <f t="shared" si="23"/>
        <v>90</v>
      </c>
      <c r="S48" s="32">
        <f t="shared" si="24"/>
        <v>26460</v>
      </c>
      <c r="T48" s="33" t="str">
        <f t="shared" si="25"/>
        <v/>
      </c>
    </row>
    <row r="49" spans="2:20" s="34" customFormat="1" x14ac:dyDescent="0.3">
      <c r="B49" s="14" t="s">
        <v>318</v>
      </c>
      <c r="C49" s="19" t="s">
        <v>21</v>
      </c>
      <c r="D49" s="42" t="str">
        <f t="shared" si="13"/>
        <v>InterSoft Education</v>
      </c>
      <c r="E49" s="42" t="str">
        <f t="shared" si="14"/>
        <v>Bosnia and Herzegovina</v>
      </c>
      <c r="F49" s="28">
        <v>90</v>
      </c>
      <c r="G49" s="29">
        <f t="shared" si="15"/>
        <v>108</v>
      </c>
      <c r="H49" s="30">
        <f t="shared" si="16"/>
        <v>9720</v>
      </c>
      <c r="I49" s="28">
        <v>0</v>
      </c>
      <c r="J49" s="29">
        <f t="shared" si="17"/>
        <v>80</v>
      </c>
      <c r="K49" s="30">
        <f t="shared" si="18"/>
        <v>0</v>
      </c>
      <c r="L49" s="28">
        <v>0</v>
      </c>
      <c r="M49" s="29">
        <f t="shared" si="19"/>
        <v>57</v>
      </c>
      <c r="N49" s="30">
        <f t="shared" si="20"/>
        <v>0</v>
      </c>
      <c r="O49" s="28">
        <v>0</v>
      </c>
      <c r="P49" s="29">
        <f t="shared" si="21"/>
        <v>45</v>
      </c>
      <c r="Q49" s="30">
        <f t="shared" si="22"/>
        <v>0</v>
      </c>
      <c r="R49" s="31">
        <f t="shared" si="23"/>
        <v>90</v>
      </c>
      <c r="S49" s="32">
        <f t="shared" si="24"/>
        <v>9720</v>
      </c>
      <c r="T49" s="33" t="str">
        <f t="shared" si="25"/>
        <v/>
      </c>
    </row>
    <row r="50" spans="2:20" s="34" customFormat="1" x14ac:dyDescent="0.3">
      <c r="B50" s="14" t="s">
        <v>319</v>
      </c>
      <c r="C50" s="19" t="s">
        <v>8</v>
      </c>
      <c r="D50" s="42" t="str">
        <f t="shared" si="13"/>
        <v>FifthElement</v>
      </c>
      <c r="E50" s="42" t="str">
        <f t="shared" si="14"/>
        <v>Serbia</v>
      </c>
      <c r="F50" s="28">
        <v>0</v>
      </c>
      <c r="G50" s="29">
        <f t="shared" si="15"/>
        <v>88</v>
      </c>
      <c r="H50" s="30">
        <f t="shared" si="16"/>
        <v>0</v>
      </c>
      <c r="I50" s="28">
        <v>0</v>
      </c>
      <c r="J50" s="29">
        <f t="shared" si="17"/>
        <v>74</v>
      </c>
      <c r="K50" s="30">
        <f t="shared" si="18"/>
        <v>0</v>
      </c>
      <c r="L50" s="28">
        <v>20</v>
      </c>
      <c r="M50" s="29">
        <f t="shared" si="19"/>
        <v>55</v>
      </c>
      <c r="N50" s="30">
        <f t="shared" si="20"/>
        <v>1100</v>
      </c>
      <c r="O50" s="28">
        <v>0</v>
      </c>
      <c r="P50" s="29">
        <f t="shared" si="21"/>
        <v>39</v>
      </c>
      <c r="Q50" s="30">
        <f t="shared" si="22"/>
        <v>0</v>
      </c>
      <c r="R50" s="31">
        <f t="shared" si="23"/>
        <v>20</v>
      </c>
      <c r="S50" s="32">
        <f t="shared" si="24"/>
        <v>1100</v>
      </c>
      <c r="T50" s="33" t="str">
        <f t="shared" si="25"/>
        <v/>
      </c>
    </row>
    <row r="51" spans="2:20" s="34" customFormat="1" x14ac:dyDescent="0.3">
      <c r="B51" s="14" t="s">
        <v>319</v>
      </c>
      <c r="C51" s="19" t="s">
        <v>11</v>
      </c>
      <c r="D51" s="42" t="str">
        <f t="shared" si="13"/>
        <v>Drustvo za akedmski razvoj (DAR)</v>
      </c>
      <c r="E51" s="42" t="str">
        <f t="shared" si="14"/>
        <v>Serbia</v>
      </c>
      <c r="F51" s="28">
        <v>0</v>
      </c>
      <c r="G51" s="29">
        <f t="shared" si="15"/>
        <v>88</v>
      </c>
      <c r="H51" s="30">
        <f t="shared" si="16"/>
        <v>0</v>
      </c>
      <c r="I51" s="28">
        <v>75</v>
      </c>
      <c r="J51" s="29">
        <f t="shared" si="17"/>
        <v>74</v>
      </c>
      <c r="K51" s="30">
        <f t="shared" si="18"/>
        <v>5550</v>
      </c>
      <c r="L51" s="28">
        <v>0</v>
      </c>
      <c r="M51" s="29">
        <f t="shared" si="19"/>
        <v>55</v>
      </c>
      <c r="N51" s="30">
        <f t="shared" si="20"/>
        <v>0</v>
      </c>
      <c r="O51" s="28">
        <v>0</v>
      </c>
      <c r="P51" s="29">
        <f t="shared" si="21"/>
        <v>39</v>
      </c>
      <c r="Q51" s="30">
        <f t="shared" si="22"/>
        <v>0</v>
      </c>
      <c r="R51" s="31">
        <f t="shared" si="23"/>
        <v>75</v>
      </c>
      <c r="S51" s="32">
        <f t="shared" si="24"/>
        <v>5550</v>
      </c>
      <c r="T51" s="33" t="str">
        <f t="shared" si="25"/>
        <v/>
      </c>
    </row>
    <row r="52" spans="2:20" s="34" customFormat="1" x14ac:dyDescent="0.3">
      <c r="B52" s="14" t="s">
        <v>174</v>
      </c>
      <c r="C52" s="19" t="s">
        <v>12</v>
      </c>
      <c r="D52" s="42" t="str">
        <f t="shared" si="13"/>
        <v>Ministarstvo prosvete, nauke I tehnoloskog razvoja</v>
      </c>
      <c r="E52" s="42" t="str">
        <f t="shared" si="14"/>
        <v>Serbia</v>
      </c>
      <c r="F52" s="28">
        <v>20</v>
      </c>
      <c r="G52" s="29">
        <f t="shared" si="15"/>
        <v>88</v>
      </c>
      <c r="H52" s="30">
        <f t="shared" si="16"/>
        <v>1760</v>
      </c>
      <c r="I52" s="28">
        <v>0</v>
      </c>
      <c r="J52" s="29">
        <f t="shared" si="17"/>
        <v>74</v>
      </c>
      <c r="K52" s="30">
        <f t="shared" si="18"/>
        <v>0</v>
      </c>
      <c r="L52" s="28">
        <v>0</v>
      </c>
      <c r="M52" s="29">
        <f t="shared" si="19"/>
        <v>55</v>
      </c>
      <c r="N52" s="30">
        <f t="shared" si="20"/>
        <v>0</v>
      </c>
      <c r="O52" s="28">
        <v>0</v>
      </c>
      <c r="P52" s="29">
        <f t="shared" si="21"/>
        <v>39</v>
      </c>
      <c r="Q52" s="30">
        <f t="shared" si="22"/>
        <v>0</v>
      </c>
      <c r="R52" s="31">
        <f t="shared" si="23"/>
        <v>20</v>
      </c>
      <c r="S52" s="32">
        <f t="shared" si="24"/>
        <v>1760</v>
      </c>
      <c r="T52" s="33" t="str">
        <f t="shared" si="25"/>
        <v/>
      </c>
    </row>
    <row r="53" spans="2:20" s="34" customFormat="1" x14ac:dyDescent="0.3">
      <c r="B53" s="14" t="s">
        <v>174</v>
      </c>
      <c r="C53" s="19" t="s">
        <v>13</v>
      </c>
      <c r="D53" s="42" t="str">
        <f t="shared" si="13"/>
        <v>University of Helsinki</v>
      </c>
      <c r="E53" s="42" t="str">
        <f t="shared" si="14"/>
        <v>Finland</v>
      </c>
      <c r="F53" s="28">
        <v>20</v>
      </c>
      <c r="G53" s="29">
        <f t="shared" si="15"/>
        <v>280</v>
      </c>
      <c r="H53" s="30">
        <f t="shared" si="16"/>
        <v>5600</v>
      </c>
      <c r="I53" s="28">
        <v>0</v>
      </c>
      <c r="J53" s="29">
        <f t="shared" si="17"/>
        <v>214</v>
      </c>
      <c r="K53" s="30">
        <f t="shared" si="18"/>
        <v>0</v>
      </c>
      <c r="L53" s="28">
        <v>0</v>
      </c>
      <c r="M53" s="29">
        <f t="shared" si="19"/>
        <v>162</v>
      </c>
      <c r="N53" s="30">
        <f t="shared" si="20"/>
        <v>0</v>
      </c>
      <c r="O53" s="28">
        <v>0</v>
      </c>
      <c r="P53" s="29">
        <f t="shared" si="21"/>
        <v>131</v>
      </c>
      <c r="Q53" s="30">
        <f t="shared" si="22"/>
        <v>0</v>
      </c>
      <c r="R53" s="31">
        <f t="shared" si="23"/>
        <v>20</v>
      </c>
      <c r="S53" s="32">
        <f t="shared" si="24"/>
        <v>5600</v>
      </c>
      <c r="T53" s="33" t="str">
        <f t="shared" si="25"/>
        <v/>
      </c>
    </row>
    <row r="54" spans="2:20" s="34" customFormat="1" x14ac:dyDescent="0.3">
      <c r="B54" s="14" t="s">
        <v>174</v>
      </c>
      <c r="C54" s="19" t="s">
        <v>18</v>
      </c>
      <c r="D54" s="42" t="str">
        <f t="shared" si="13"/>
        <v>IMEC</v>
      </c>
      <c r="E54" s="42" t="str">
        <f t="shared" si="14"/>
        <v>Belgium</v>
      </c>
      <c r="F54" s="28">
        <v>20</v>
      </c>
      <c r="G54" s="29">
        <f t="shared" si="15"/>
        <v>280</v>
      </c>
      <c r="H54" s="30">
        <f t="shared" si="16"/>
        <v>5600</v>
      </c>
      <c r="I54" s="28">
        <v>0</v>
      </c>
      <c r="J54" s="29">
        <f t="shared" si="17"/>
        <v>214</v>
      </c>
      <c r="K54" s="30">
        <f t="shared" si="18"/>
        <v>0</v>
      </c>
      <c r="L54" s="28">
        <v>0</v>
      </c>
      <c r="M54" s="29">
        <f t="shared" si="19"/>
        <v>162</v>
      </c>
      <c r="N54" s="30">
        <f t="shared" si="20"/>
        <v>0</v>
      </c>
      <c r="O54" s="28">
        <v>0</v>
      </c>
      <c r="P54" s="29">
        <f t="shared" si="21"/>
        <v>131</v>
      </c>
      <c r="Q54" s="30">
        <f t="shared" si="22"/>
        <v>0</v>
      </c>
      <c r="R54" s="31">
        <f t="shared" si="23"/>
        <v>20</v>
      </c>
      <c r="S54" s="32">
        <f t="shared" si="24"/>
        <v>5600</v>
      </c>
      <c r="T54" s="33" t="str">
        <f t="shared" si="25"/>
        <v/>
      </c>
    </row>
    <row r="55" spans="2:20" s="34" customFormat="1" x14ac:dyDescent="0.3">
      <c r="B55" s="14" t="s">
        <v>174</v>
      </c>
      <c r="C55" s="19" t="s">
        <v>14</v>
      </c>
      <c r="D55" s="42" t="str">
        <f t="shared" si="13"/>
        <v>Radboud University</v>
      </c>
      <c r="E55" s="42" t="str">
        <f t="shared" si="14"/>
        <v>Netherlands</v>
      </c>
      <c r="F55" s="28">
        <v>40</v>
      </c>
      <c r="G55" s="29">
        <f t="shared" si="15"/>
        <v>294</v>
      </c>
      <c r="H55" s="30">
        <f t="shared" si="16"/>
        <v>11760</v>
      </c>
      <c r="I55" s="28">
        <v>0</v>
      </c>
      <c r="J55" s="29">
        <f t="shared" si="17"/>
        <v>241</v>
      </c>
      <c r="K55" s="30">
        <f t="shared" si="18"/>
        <v>0</v>
      </c>
      <c r="L55" s="28">
        <v>0</v>
      </c>
      <c r="M55" s="29">
        <f t="shared" si="19"/>
        <v>190</v>
      </c>
      <c r="N55" s="30">
        <f t="shared" si="20"/>
        <v>0</v>
      </c>
      <c r="O55" s="28">
        <v>0</v>
      </c>
      <c r="P55" s="29">
        <f t="shared" si="21"/>
        <v>157</v>
      </c>
      <c r="Q55" s="30">
        <f t="shared" si="22"/>
        <v>0</v>
      </c>
      <c r="R55" s="31">
        <f t="shared" si="23"/>
        <v>40</v>
      </c>
      <c r="S55" s="32">
        <f t="shared" si="24"/>
        <v>11760</v>
      </c>
      <c r="T55" s="33" t="str">
        <f t="shared" si="25"/>
        <v/>
      </c>
    </row>
    <row r="56" spans="2:20" s="34" customFormat="1" x14ac:dyDescent="0.3">
      <c r="B56" s="14" t="s">
        <v>174</v>
      </c>
      <c r="C56" s="19" t="s">
        <v>19</v>
      </c>
      <c r="D56" s="42" t="str">
        <f t="shared" si="13"/>
        <v>EdukaMont</v>
      </c>
      <c r="E56" s="42" t="str">
        <f t="shared" si="14"/>
        <v>Montenegro</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174</v>
      </c>
      <c r="C57" s="19" t="s">
        <v>15</v>
      </c>
      <c r="D57" s="42" t="str">
        <f t="shared" si="13"/>
        <v>Universidad de Salamanca</v>
      </c>
      <c r="E57" s="42" t="str">
        <f t="shared" si="14"/>
        <v>Spain</v>
      </c>
      <c r="F57" s="28">
        <v>20</v>
      </c>
      <c r="G57" s="29">
        <f t="shared" si="15"/>
        <v>164</v>
      </c>
      <c r="H57" s="30">
        <f t="shared" si="16"/>
        <v>3280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20</v>
      </c>
      <c r="S57" s="32">
        <f t="shared" si="24"/>
        <v>3280</v>
      </c>
      <c r="T57" s="33" t="str">
        <f t="shared" si="25"/>
        <v/>
      </c>
    </row>
    <row r="58" spans="2:20" s="34" customFormat="1" x14ac:dyDescent="0.3">
      <c r="B58" s="14" t="s">
        <v>174</v>
      </c>
      <c r="C58" s="19" t="s">
        <v>156</v>
      </c>
      <c r="D58" s="42" t="str">
        <f t="shared" si="13"/>
        <v>Enterprise Ireland</v>
      </c>
      <c r="E58" s="42" t="str">
        <f t="shared" si="14"/>
        <v>Ireland</v>
      </c>
      <c r="F58" s="28">
        <v>20</v>
      </c>
      <c r="G58" s="29">
        <f t="shared" si="15"/>
        <v>294</v>
      </c>
      <c r="H58" s="30">
        <f t="shared" si="16"/>
        <v>5880</v>
      </c>
      <c r="I58" s="28">
        <v>0</v>
      </c>
      <c r="J58" s="29">
        <f t="shared" si="17"/>
        <v>241</v>
      </c>
      <c r="K58" s="30">
        <f t="shared" si="18"/>
        <v>0</v>
      </c>
      <c r="L58" s="28">
        <v>0</v>
      </c>
      <c r="M58" s="29">
        <f t="shared" si="19"/>
        <v>190</v>
      </c>
      <c r="N58" s="30">
        <f t="shared" si="20"/>
        <v>0</v>
      </c>
      <c r="O58" s="28">
        <v>0</v>
      </c>
      <c r="P58" s="29">
        <f t="shared" si="21"/>
        <v>157</v>
      </c>
      <c r="Q58" s="30">
        <f t="shared" si="22"/>
        <v>0</v>
      </c>
      <c r="R58" s="31">
        <f t="shared" si="23"/>
        <v>20</v>
      </c>
      <c r="S58" s="32">
        <f t="shared" si="24"/>
        <v>5880</v>
      </c>
      <c r="T58" s="33" t="str">
        <f t="shared" si="25"/>
        <v/>
      </c>
    </row>
    <row r="59" spans="2:20" s="34" customFormat="1" x14ac:dyDescent="0.3">
      <c r="B59" s="14" t="s">
        <v>174</v>
      </c>
      <c r="C59" s="19" t="s">
        <v>16</v>
      </c>
      <c r="D59" s="42" t="str">
        <f t="shared" si="13"/>
        <v>University of Vienna</v>
      </c>
      <c r="E59" s="42" t="str">
        <f t="shared" si="14"/>
        <v>Austria</v>
      </c>
      <c r="F59" s="28">
        <v>20</v>
      </c>
      <c r="G59" s="29">
        <f t="shared" si="15"/>
        <v>294</v>
      </c>
      <c r="H59" s="30">
        <f t="shared" si="16"/>
        <v>5880</v>
      </c>
      <c r="I59" s="28">
        <v>0</v>
      </c>
      <c r="J59" s="29">
        <f t="shared" si="17"/>
        <v>241</v>
      </c>
      <c r="K59" s="30">
        <f t="shared" si="18"/>
        <v>0</v>
      </c>
      <c r="L59" s="28">
        <v>0</v>
      </c>
      <c r="M59" s="29">
        <f t="shared" si="19"/>
        <v>190</v>
      </c>
      <c r="N59" s="30">
        <f t="shared" si="20"/>
        <v>0</v>
      </c>
      <c r="O59" s="28">
        <v>0</v>
      </c>
      <c r="P59" s="29">
        <f t="shared" si="21"/>
        <v>157</v>
      </c>
      <c r="Q59" s="30">
        <f t="shared" si="22"/>
        <v>0</v>
      </c>
      <c r="R59" s="31">
        <f t="shared" si="23"/>
        <v>20</v>
      </c>
      <c r="S59" s="32">
        <f t="shared" si="24"/>
        <v>5880</v>
      </c>
      <c r="T59" s="33" t="str">
        <f t="shared" si="25"/>
        <v/>
      </c>
    </row>
    <row r="60" spans="2:20" s="34" customFormat="1" x14ac:dyDescent="0.3">
      <c r="B60" s="14" t="s">
        <v>174</v>
      </c>
      <c r="C60" s="19" t="s">
        <v>20</v>
      </c>
      <c r="D60" s="42" t="str">
        <f t="shared" si="13"/>
        <v>Uniwersytet Warszawski</v>
      </c>
      <c r="E60" s="42" t="str">
        <f t="shared" si="14"/>
        <v>Poland</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174</v>
      </c>
      <c r="C61" s="19" t="s">
        <v>17</v>
      </c>
      <c r="D61" s="42" t="str">
        <f t="shared" si="13"/>
        <v>Stockholm University</v>
      </c>
      <c r="E61" s="42" t="str">
        <f t="shared" si="14"/>
        <v>Sweden</v>
      </c>
      <c r="F61" s="28">
        <v>20</v>
      </c>
      <c r="G61" s="29">
        <f t="shared" si="15"/>
        <v>294</v>
      </c>
      <c r="H61" s="30">
        <f t="shared" si="16"/>
        <v>5880</v>
      </c>
      <c r="I61" s="28">
        <v>0</v>
      </c>
      <c r="J61" s="29">
        <f t="shared" si="17"/>
        <v>241</v>
      </c>
      <c r="K61" s="30">
        <f t="shared" si="18"/>
        <v>0</v>
      </c>
      <c r="L61" s="28">
        <v>0</v>
      </c>
      <c r="M61" s="29">
        <f t="shared" si="19"/>
        <v>190</v>
      </c>
      <c r="N61" s="30">
        <f t="shared" si="20"/>
        <v>0</v>
      </c>
      <c r="O61" s="28">
        <v>0</v>
      </c>
      <c r="P61" s="29">
        <f t="shared" si="21"/>
        <v>157</v>
      </c>
      <c r="Q61" s="30">
        <f t="shared" si="22"/>
        <v>0</v>
      </c>
      <c r="R61" s="31">
        <f t="shared" si="23"/>
        <v>20</v>
      </c>
      <c r="S61" s="32">
        <f t="shared" si="24"/>
        <v>5880</v>
      </c>
      <c r="T61" s="33" t="str">
        <f t="shared" si="25"/>
        <v/>
      </c>
    </row>
    <row r="62" spans="2:20" s="34" customFormat="1" x14ac:dyDescent="0.3">
      <c r="B62" s="14" t="s">
        <v>174</v>
      </c>
      <c r="C62" s="19" t="s">
        <v>21</v>
      </c>
      <c r="D62" s="42" t="str">
        <f t="shared" si="13"/>
        <v>InterSoft Education</v>
      </c>
      <c r="E62" s="42" t="str">
        <f t="shared" si="14"/>
        <v>Bosnia and Herzegovina</v>
      </c>
      <c r="F62" s="28">
        <v>20</v>
      </c>
      <c r="G62" s="29">
        <f t="shared" si="15"/>
        <v>108</v>
      </c>
      <c r="H62" s="30">
        <f t="shared" si="16"/>
        <v>2160</v>
      </c>
      <c r="I62" s="28">
        <v>0</v>
      </c>
      <c r="J62" s="29">
        <f t="shared" si="17"/>
        <v>80</v>
      </c>
      <c r="K62" s="30">
        <f t="shared" si="18"/>
        <v>0</v>
      </c>
      <c r="L62" s="28">
        <v>0</v>
      </c>
      <c r="M62" s="29">
        <f t="shared" si="19"/>
        <v>57</v>
      </c>
      <c r="N62" s="30">
        <f t="shared" si="20"/>
        <v>0</v>
      </c>
      <c r="O62" s="28">
        <v>0</v>
      </c>
      <c r="P62" s="29">
        <f t="shared" si="21"/>
        <v>45</v>
      </c>
      <c r="Q62" s="30">
        <f t="shared" si="22"/>
        <v>0</v>
      </c>
      <c r="R62" s="31">
        <f t="shared" si="23"/>
        <v>20</v>
      </c>
      <c r="S62" s="32">
        <f t="shared" si="24"/>
        <v>2160</v>
      </c>
      <c r="T62" s="33" t="str">
        <f t="shared" si="25"/>
        <v/>
      </c>
    </row>
  </sheetData>
  <sheetProtection algorithmName="SHA-512" hashValue="Q/7A8k3FRI4OLhtctPuWXAAr75iJs5xT+hzFrCEL1FEZW+2PNEpIqT03zZ3NPCbLKMnRQ9IlLgDVu6Fp4vkdiQ==" saltValue="YVu+fJmdW/KxAuCWv+lCmg=="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62">
    <cfRule type="containsText" dxfId="641" priority="1025" operator="containsText" text="Error">
      <formula>NOT(ISERROR(SEARCH("Error",T13)))</formula>
    </cfRule>
  </conditionalFormatting>
  <conditionalFormatting sqref="D13:E62">
    <cfRule type="containsBlanks" dxfId="640" priority="1021">
      <formula>LEN(TRIM(D13))=0</formula>
    </cfRule>
  </conditionalFormatting>
  <conditionalFormatting sqref="F14 I14 L14 O14">
    <cfRule type="expression" dxfId="639" priority="392">
      <formula>ISNUMBER(F14)=FALSE</formula>
    </cfRule>
  </conditionalFormatting>
  <conditionalFormatting sqref="F13 I13 L13 O13">
    <cfRule type="expression" dxfId="638" priority="391">
      <formula>ISNUMBER(F13)=FALSE</formula>
    </cfRule>
  </conditionalFormatting>
  <conditionalFormatting sqref="B13:C13">
    <cfRule type="containsBlanks" dxfId="637" priority="384">
      <formula>LEN(TRIM(B13))=0</formula>
    </cfRule>
  </conditionalFormatting>
  <conditionalFormatting sqref="B14:C14">
    <cfRule type="containsBlanks" dxfId="636" priority="383">
      <formula>LEN(TRIM(B14))=0</formula>
    </cfRule>
  </conditionalFormatting>
  <conditionalFormatting sqref="F15 I15 L15 O15">
    <cfRule type="expression" dxfId="635" priority="98">
      <formula>ISNUMBER(F15)=FALSE</formula>
    </cfRule>
  </conditionalFormatting>
  <conditionalFormatting sqref="B15:C15">
    <cfRule type="containsBlanks" dxfId="634" priority="97">
      <formula>LEN(TRIM(B15))=0</formula>
    </cfRule>
  </conditionalFormatting>
  <conditionalFormatting sqref="F16 I16 L16 O16">
    <cfRule type="expression" dxfId="633" priority="94">
      <formula>ISNUMBER(F16)=FALSE</formula>
    </cfRule>
  </conditionalFormatting>
  <conditionalFormatting sqref="B16:C16">
    <cfRule type="containsBlanks" dxfId="632" priority="93">
      <formula>LEN(TRIM(B16))=0</formula>
    </cfRule>
  </conditionalFormatting>
  <conditionalFormatting sqref="F17 I17 L17 O17">
    <cfRule type="expression" dxfId="631" priority="92">
      <formula>ISNUMBER(F17)=FALSE</formula>
    </cfRule>
  </conditionalFormatting>
  <conditionalFormatting sqref="B17:C17">
    <cfRule type="containsBlanks" dxfId="630" priority="91">
      <formula>LEN(TRIM(B17))=0</formula>
    </cfRule>
  </conditionalFormatting>
  <conditionalFormatting sqref="F18 I18 L18 O18">
    <cfRule type="expression" dxfId="629" priority="90">
      <formula>ISNUMBER(F18)=FALSE</formula>
    </cfRule>
  </conditionalFormatting>
  <conditionalFormatting sqref="B18:C18">
    <cfRule type="containsBlanks" dxfId="628" priority="89">
      <formula>LEN(TRIM(B18))=0</formula>
    </cfRule>
  </conditionalFormatting>
  <conditionalFormatting sqref="F19 I19 L19 O19">
    <cfRule type="expression" dxfId="627" priority="88">
      <formula>ISNUMBER(F19)=FALSE</formula>
    </cfRule>
  </conditionalFormatting>
  <conditionalFormatting sqref="B19:C19">
    <cfRule type="containsBlanks" dxfId="626" priority="87">
      <formula>LEN(TRIM(B19))=0</formula>
    </cfRule>
  </conditionalFormatting>
  <conditionalFormatting sqref="F20 I20 L20 O20">
    <cfRule type="expression" dxfId="625" priority="86">
      <formula>ISNUMBER(F20)=FALSE</formula>
    </cfRule>
  </conditionalFormatting>
  <conditionalFormatting sqref="B20:C20">
    <cfRule type="containsBlanks" dxfId="624" priority="85">
      <formula>LEN(TRIM(B20))=0</formula>
    </cfRule>
  </conditionalFormatting>
  <conditionalFormatting sqref="F21 I21 L21 O21">
    <cfRule type="expression" dxfId="623" priority="84">
      <formula>ISNUMBER(F21)=FALSE</formula>
    </cfRule>
  </conditionalFormatting>
  <conditionalFormatting sqref="B21:C21">
    <cfRule type="containsBlanks" dxfId="622" priority="83">
      <formula>LEN(TRIM(B21))=0</formula>
    </cfRule>
  </conditionalFormatting>
  <conditionalFormatting sqref="F22 I22 L22 O22">
    <cfRule type="expression" dxfId="621" priority="82">
      <formula>ISNUMBER(F22)=FALSE</formula>
    </cfRule>
  </conditionalFormatting>
  <conditionalFormatting sqref="B22:C22">
    <cfRule type="containsBlanks" dxfId="620" priority="81">
      <formula>LEN(TRIM(B22))=0</formula>
    </cfRule>
  </conditionalFormatting>
  <conditionalFormatting sqref="F24 I24 L24 O24">
    <cfRule type="expression" dxfId="619" priority="80">
      <formula>ISNUMBER(F24)=FALSE</formula>
    </cfRule>
  </conditionalFormatting>
  <conditionalFormatting sqref="B24:C24">
    <cfRule type="containsBlanks" dxfId="618" priority="79">
      <formula>LEN(TRIM(B24))=0</formula>
    </cfRule>
  </conditionalFormatting>
  <conditionalFormatting sqref="F25 I25 L25 O25">
    <cfRule type="expression" dxfId="617" priority="78">
      <formula>ISNUMBER(F25)=FALSE</formula>
    </cfRule>
  </conditionalFormatting>
  <conditionalFormatting sqref="B25:C25">
    <cfRule type="containsBlanks" dxfId="616" priority="77">
      <formula>LEN(TRIM(B25))=0</formula>
    </cfRule>
  </conditionalFormatting>
  <conditionalFormatting sqref="F26 I26 L26 O26">
    <cfRule type="expression" dxfId="615" priority="76">
      <formula>ISNUMBER(F26)=FALSE</formula>
    </cfRule>
  </conditionalFormatting>
  <conditionalFormatting sqref="B26:C26">
    <cfRule type="containsBlanks" dxfId="614" priority="75">
      <formula>LEN(TRIM(B26))=0</formula>
    </cfRule>
  </conditionalFormatting>
  <conditionalFormatting sqref="F27 I27 L27 O27">
    <cfRule type="expression" dxfId="613" priority="74">
      <formula>ISNUMBER(F27)=FALSE</formula>
    </cfRule>
  </conditionalFormatting>
  <conditionalFormatting sqref="B27:C27">
    <cfRule type="containsBlanks" dxfId="612" priority="73">
      <formula>LEN(TRIM(B27))=0</formula>
    </cfRule>
  </conditionalFormatting>
  <conditionalFormatting sqref="F28 I28 L28 O28">
    <cfRule type="expression" dxfId="611" priority="72">
      <formula>ISNUMBER(F28)=FALSE</formula>
    </cfRule>
  </conditionalFormatting>
  <conditionalFormatting sqref="B28:C28">
    <cfRule type="containsBlanks" dxfId="610" priority="71">
      <formula>LEN(TRIM(B28))=0</formula>
    </cfRule>
  </conditionalFormatting>
  <conditionalFormatting sqref="F29 I29 L29 O29">
    <cfRule type="expression" dxfId="609" priority="70">
      <formula>ISNUMBER(F29)=FALSE</formula>
    </cfRule>
  </conditionalFormatting>
  <conditionalFormatting sqref="B29:C29">
    <cfRule type="containsBlanks" dxfId="608" priority="69">
      <formula>LEN(TRIM(B29))=0</formula>
    </cfRule>
  </conditionalFormatting>
  <conditionalFormatting sqref="F30 I30 L30 O30">
    <cfRule type="expression" dxfId="607" priority="68">
      <formula>ISNUMBER(F30)=FALSE</formula>
    </cfRule>
  </conditionalFormatting>
  <conditionalFormatting sqref="B30:C30">
    <cfRule type="containsBlanks" dxfId="606" priority="67">
      <formula>LEN(TRIM(B30))=0</formula>
    </cfRule>
  </conditionalFormatting>
  <conditionalFormatting sqref="F31 I31 L31 O31">
    <cfRule type="expression" dxfId="605" priority="66">
      <formula>ISNUMBER(F31)=FALSE</formula>
    </cfRule>
  </conditionalFormatting>
  <conditionalFormatting sqref="B31:C31">
    <cfRule type="containsBlanks" dxfId="604" priority="65">
      <formula>LEN(TRIM(B31))=0</formula>
    </cfRule>
  </conditionalFormatting>
  <conditionalFormatting sqref="F32 I32 L32 O32">
    <cfRule type="expression" dxfId="603" priority="64">
      <formula>ISNUMBER(F32)=FALSE</formula>
    </cfRule>
  </conditionalFormatting>
  <conditionalFormatting sqref="B32:C32">
    <cfRule type="containsBlanks" dxfId="602" priority="63">
      <formula>LEN(TRIM(B32))=0</formula>
    </cfRule>
  </conditionalFormatting>
  <conditionalFormatting sqref="F33 I33 L33 O33">
    <cfRule type="expression" dxfId="601" priority="62">
      <formula>ISNUMBER(F33)=FALSE</formula>
    </cfRule>
  </conditionalFormatting>
  <conditionalFormatting sqref="B33:C33">
    <cfRule type="containsBlanks" dxfId="600" priority="61">
      <formula>LEN(TRIM(B33))=0</formula>
    </cfRule>
  </conditionalFormatting>
  <conditionalFormatting sqref="F34 I34 L34 O34">
    <cfRule type="expression" dxfId="599" priority="60">
      <formula>ISNUMBER(F34)=FALSE</formula>
    </cfRule>
  </conditionalFormatting>
  <conditionalFormatting sqref="B34:C34">
    <cfRule type="containsBlanks" dxfId="598" priority="59">
      <formula>LEN(TRIM(B34))=0</formula>
    </cfRule>
  </conditionalFormatting>
  <conditionalFormatting sqref="F35 I35 L35 O35">
    <cfRule type="expression" dxfId="597" priority="58">
      <formula>ISNUMBER(F35)=FALSE</formula>
    </cfRule>
  </conditionalFormatting>
  <conditionalFormatting sqref="B35:C35">
    <cfRule type="containsBlanks" dxfId="596" priority="57">
      <formula>LEN(TRIM(B35))=0</formula>
    </cfRule>
  </conditionalFormatting>
  <conditionalFormatting sqref="F36 I36 L36 O36">
    <cfRule type="expression" dxfId="595" priority="56">
      <formula>ISNUMBER(F36)=FALSE</formula>
    </cfRule>
  </conditionalFormatting>
  <conditionalFormatting sqref="B36:C36">
    <cfRule type="containsBlanks" dxfId="594" priority="55">
      <formula>LEN(TRIM(B36))=0</formula>
    </cfRule>
  </conditionalFormatting>
  <conditionalFormatting sqref="F37 I37 L37 O37">
    <cfRule type="expression" dxfId="593" priority="54">
      <formula>ISNUMBER(F37)=FALSE</formula>
    </cfRule>
  </conditionalFormatting>
  <conditionalFormatting sqref="B37:C37">
    <cfRule type="containsBlanks" dxfId="592" priority="53">
      <formula>LEN(TRIM(B37))=0</formula>
    </cfRule>
  </conditionalFormatting>
  <conditionalFormatting sqref="F38 I38 L38 O38">
    <cfRule type="expression" dxfId="591" priority="52">
      <formula>ISNUMBER(F38)=FALSE</formula>
    </cfRule>
  </conditionalFormatting>
  <conditionalFormatting sqref="B38:C38">
    <cfRule type="containsBlanks" dxfId="590" priority="51">
      <formula>LEN(TRIM(B38))=0</formula>
    </cfRule>
  </conditionalFormatting>
  <conditionalFormatting sqref="F39 I39 L39 O39">
    <cfRule type="expression" dxfId="589" priority="50">
      <formula>ISNUMBER(F39)=FALSE</formula>
    </cfRule>
  </conditionalFormatting>
  <conditionalFormatting sqref="B39:C39">
    <cfRule type="containsBlanks" dxfId="588" priority="49">
      <formula>LEN(TRIM(B39))=0</formula>
    </cfRule>
  </conditionalFormatting>
  <conditionalFormatting sqref="F40 I40 L40 O40">
    <cfRule type="expression" dxfId="587" priority="48">
      <formula>ISNUMBER(F40)=FALSE</formula>
    </cfRule>
  </conditionalFormatting>
  <conditionalFormatting sqref="B40:C40">
    <cfRule type="containsBlanks" dxfId="586" priority="47">
      <formula>LEN(TRIM(B40))=0</formula>
    </cfRule>
  </conditionalFormatting>
  <conditionalFormatting sqref="F41 I41 L41 O41">
    <cfRule type="expression" dxfId="585" priority="46">
      <formula>ISNUMBER(F41)=FALSE</formula>
    </cfRule>
  </conditionalFormatting>
  <conditionalFormatting sqref="B41:C41">
    <cfRule type="containsBlanks" dxfId="584" priority="45">
      <formula>LEN(TRIM(B41))=0</formula>
    </cfRule>
  </conditionalFormatting>
  <conditionalFormatting sqref="F42 I42 L42 O42">
    <cfRule type="expression" dxfId="583" priority="44">
      <formula>ISNUMBER(F42)=FALSE</formula>
    </cfRule>
  </conditionalFormatting>
  <conditionalFormatting sqref="B42:C42">
    <cfRule type="containsBlanks" dxfId="582" priority="43">
      <formula>LEN(TRIM(B42))=0</formula>
    </cfRule>
  </conditionalFormatting>
  <conditionalFormatting sqref="F43 I43 L43 O43">
    <cfRule type="expression" dxfId="581" priority="42">
      <formula>ISNUMBER(F43)=FALSE</formula>
    </cfRule>
  </conditionalFormatting>
  <conditionalFormatting sqref="B43:C43">
    <cfRule type="containsBlanks" dxfId="580" priority="41">
      <formula>LEN(TRIM(B43))=0</formula>
    </cfRule>
  </conditionalFormatting>
  <conditionalFormatting sqref="F44 I44 L44 O44">
    <cfRule type="expression" dxfId="579" priority="40">
      <formula>ISNUMBER(F44)=FALSE</formula>
    </cfRule>
  </conditionalFormatting>
  <conditionalFormatting sqref="B44:C44">
    <cfRule type="containsBlanks" dxfId="578" priority="39">
      <formula>LEN(TRIM(B44))=0</formula>
    </cfRule>
  </conditionalFormatting>
  <conditionalFormatting sqref="F45 I45 L45 O45">
    <cfRule type="expression" dxfId="577" priority="38">
      <formula>ISNUMBER(F45)=FALSE</formula>
    </cfRule>
  </conditionalFormatting>
  <conditionalFormatting sqref="B45:C45">
    <cfRule type="containsBlanks" dxfId="576" priority="37">
      <formula>LEN(TRIM(B45))=0</formula>
    </cfRule>
  </conditionalFormatting>
  <conditionalFormatting sqref="F46 I46 L46 O46">
    <cfRule type="expression" dxfId="575" priority="36">
      <formula>ISNUMBER(F46)=FALSE</formula>
    </cfRule>
  </conditionalFormatting>
  <conditionalFormatting sqref="B46:C46">
    <cfRule type="containsBlanks" dxfId="574" priority="35">
      <formula>LEN(TRIM(B46))=0</formula>
    </cfRule>
  </conditionalFormatting>
  <conditionalFormatting sqref="F47 I47 L47 O47">
    <cfRule type="expression" dxfId="573" priority="34">
      <formula>ISNUMBER(F47)=FALSE</formula>
    </cfRule>
  </conditionalFormatting>
  <conditionalFormatting sqref="B47:C47">
    <cfRule type="containsBlanks" dxfId="572" priority="33">
      <formula>LEN(TRIM(B47))=0</formula>
    </cfRule>
  </conditionalFormatting>
  <conditionalFormatting sqref="F48 I48 L48 O48">
    <cfRule type="expression" dxfId="571" priority="32">
      <formula>ISNUMBER(F48)=FALSE</formula>
    </cfRule>
  </conditionalFormatting>
  <conditionalFormatting sqref="B48:C48">
    <cfRule type="containsBlanks" dxfId="570" priority="31">
      <formula>LEN(TRIM(B48))=0</formula>
    </cfRule>
  </conditionalFormatting>
  <conditionalFormatting sqref="F49 I49 L49 O49">
    <cfRule type="expression" dxfId="569" priority="30">
      <formula>ISNUMBER(F49)=FALSE</formula>
    </cfRule>
  </conditionalFormatting>
  <conditionalFormatting sqref="B49:C49">
    <cfRule type="containsBlanks" dxfId="568" priority="29">
      <formula>LEN(TRIM(B49))=0</formula>
    </cfRule>
  </conditionalFormatting>
  <conditionalFormatting sqref="F50 I50 L50 O50">
    <cfRule type="expression" dxfId="567" priority="28">
      <formula>ISNUMBER(F50)=FALSE</formula>
    </cfRule>
  </conditionalFormatting>
  <conditionalFormatting sqref="B50:C50">
    <cfRule type="containsBlanks" dxfId="566" priority="27">
      <formula>LEN(TRIM(B50))=0</formula>
    </cfRule>
  </conditionalFormatting>
  <conditionalFormatting sqref="F51 I51 L51 O51">
    <cfRule type="expression" dxfId="565" priority="26">
      <formula>ISNUMBER(F51)=FALSE</formula>
    </cfRule>
  </conditionalFormatting>
  <conditionalFormatting sqref="B51:C51">
    <cfRule type="containsBlanks" dxfId="564" priority="25">
      <formula>LEN(TRIM(B51))=0</formula>
    </cfRule>
  </conditionalFormatting>
  <conditionalFormatting sqref="F52 I52 L52 O52">
    <cfRule type="expression" dxfId="563" priority="24">
      <formula>ISNUMBER(F52)=FALSE</formula>
    </cfRule>
  </conditionalFormatting>
  <conditionalFormatting sqref="B52:C52">
    <cfRule type="containsBlanks" dxfId="562" priority="23">
      <formula>LEN(TRIM(B52))=0</formula>
    </cfRule>
  </conditionalFormatting>
  <conditionalFormatting sqref="F53 I53 L53 O53">
    <cfRule type="expression" dxfId="561" priority="22">
      <formula>ISNUMBER(F53)=FALSE</formula>
    </cfRule>
  </conditionalFormatting>
  <conditionalFormatting sqref="B53:C53">
    <cfRule type="containsBlanks" dxfId="560" priority="21">
      <formula>LEN(TRIM(B53))=0</formula>
    </cfRule>
  </conditionalFormatting>
  <conditionalFormatting sqref="F54 I54 L54 O54">
    <cfRule type="expression" dxfId="559" priority="20">
      <formula>ISNUMBER(F54)=FALSE</formula>
    </cfRule>
  </conditionalFormatting>
  <conditionalFormatting sqref="B54:C54">
    <cfRule type="containsBlanks" dxfId="558" priority="19">
      <formula>LEN(TRIM(B54))=0</formula>
    </cfRule>
  </conditionalFormatting>
  <conditionalFormatting sqref="F55 I55 L55 O55">
    <cfRule type="expression" dxfId="557" priority="18">
      <formula>ISNUMBER(F55)=FALSE</formula>
    </cfRule>
  </conditionalFormatting>
  <conditionalFormatting sqref="B55:C55">
    <cfRule type="containsBlanks" dxfId="556" priority="17">
      <formula>LEN(TRIM(B55))=0</formula>
    </cfRule>
  </conditionalFormatting>
  <conditionalFormatting sqref="F56 I56 L56 O56">
    <cfRule type="expression" dxfId="555" priority="16">
      <formula>ISNUMBER(F56)=FALSE</formula>
    </cfRule>
  </conditionalFormatting>
  <conditionalFormatting sqref="B56:C56">
    <cfRule type="containsBlanks" dxfId="554" priority="15">
      <formula>LEN(TRIM(B56))=0</formula>
    </cfRule>
  </conditionalFormatting>
  <conditionalFormatting sqref="F57 I57 L57 O57">
    <cfRule type="expression" dxfId="553" priority="14">
      <formula>ISNUMBER(F57)=FALSE</formula>
    </cfRule>
  </conditionalFormatting>
  <conditionalFormatting sqref="B57:C57">
    <cfRule type="containsBlanks" dxfId="552" priority="13">
      <formula>LEN(TRIM(B57))=0</formula>
    </cfRule>
  </conditionalFormatting>
  <conditionalFormatting sqref="F58 I58 L58 O58">
    <cfRule type="expression" dxfId="551" priority="12">
      <formula>ISNUMBER(F58)=FALSE</formula>
    </cfRule>
  </conditionalFormatting>
  <conditionalFormatting sqref="B58:C58">
    <cfRule type="containsBlanks" dxfId="550" priority="11">
      <formula>LEN(TRIM(B58))=0</formula>
    </cfRule>
  </conditionalFormatting>
  <conditionalFormatting sqref="F59 I59 L59 O59">
    <cfRule type="expression" dxfId="549" priority="10">
      <formula>ISNUMBER(F59)=FALSE</formula>
    </cfRule>
  </conditionalFormatting>
  <conditionalFormatting sqref="B59:C59">
    <cfRule type="containsBlanks" dxfId="548" priority="9">
      <formula>LEN(TRIM(B59))=0</formula>
    </cfRule>
  </conditionalFormatting>
  <conditionalFormatting sqref="F60 I60 L60 O60">
    <cfRule type="expression" dxfId="547" priority="8">
      <formula>ISNUMBER(F60)=FALSE</formula>
    </cfRule>
  </conditionalFormatting>
  <conditionalFormatting sqref="B60:C60">
    <cfRule type="containsBlanks" dxfId="546" priority="7">
      <formula>LEN(TRIM(B60))=0</formula>
    </cfRule>
  </conditionalFormatting>
  <conditionalFormatting sqref="F61 I61 L61 O61">
    <cfRule type="expression" dxfId="545" priority="6">
      <formula>ISNUMBER(F61)=FALSE</formula>
    </cfRule>
  </conditionalFormatting>
  <conditionalFormatting sqref="B61:C61">
    <cfRule type="containsBlanks" dxfId="544" priority="5">
      <formula>LEN(TRIM(B61))=0</formula>
    </cfRule>
  </conditionalFormatting>
  <conditionalFormatting sqref="F62 I62 L62 O62">
    <cfRule type="expression" dxfId="543" priority="4">
      <formula>ISNUMBER(F62)=FALSE</formula>
    </cfRule>
  </conditionalFormatting>
  <conditionalFormatting sqref="B62:C62">
    <cfRule type="containsBlanks" dxfId="542" priority="3">
      <formula>LEN(TRIM(B62))=0</formula>
    </cfRule>
  </conditionalFormatting>
  <conditionalFormatting sqref="F23 I23 L23 O23">
    <cfRule type="expression" dxfId="541" priority="2">
      <formula>ISNUMBER(F23)=FALSE</formula>
    </cfRule>
  </conditionalFormatting>
  <conditionalFormatting sqref="B23:C23">
    <cfRule type="containsBlanks" dxfId="540" priority="1">
      <formula>LEN(TRIM(B23))=0</formula>
    </cfRule>
  </conditionalFormatting>
  <dataValidations xWindow="382" yWindow="402" count="4">
    <dataValidation allowBlank="1" showInputMessage="1" errorTitle="Warning: Max Ceilings exceeded" error="Please be aware that this exceed the &quot;Ceilings&quot; for the maximum amounts for staff cost by country" sqref="P13:P62 J13:J62 M13:M62 G13:G62" xr:uid="{00000000-0002-0000-0200-000000000000}"/>
    <dataValidation type="custom" allowBlank="1" showInputMessage="1" showErrorMessage="1" error="Format error (1 decimal only)" prompt="Please encode number of days - 1 decimal only" sqref="O13:O62 I13:I62 F13:F62 L13:L62" xr:uid="{00000000-0002-0000-0200-000001000000}">
      <formula1>F13=INT(F13*10)/10</formula1>
    </dataValidation>
    <dataValidation type="list" allowBlank="1" showInputMessage="1" showErrorMessage="1" error="Click arrow to select Work Package" prompt="Click arrow to select Work Package" sqref="B13:B62" xr:uid="{00000000-0002-0000-0200-000002000000}">
      <formula1>WorkPackage</formula1>
    </dataValidation>
    <dataValidation type="list" allowBlank="1" showInputMessage="1" showErrorMessage="1" error="Click arrow to select Partner N°" prompt="Click arrow to select Partner N°" sqref="C13:C62"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60"/>
  <sheetViews>
    <sheetView showGridLines="0" topLeftCell="C1" zoomScale="65" zoomScaleNormal="65" zoomScaleSheetLayoutView="55" workbookViewId="0">
      <pane ySplit="13" topLeftCell="A14" activePane="bottomLeft" state="frozen"/>
      <selection pane="bottomLeft" activeCell="L14" sqref="L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183</v>
      </c>
      <c r="C2" s="149"/>
      <c r="D2" s="149"/>
      <c r="E2" s="149"/>
      <c r="F2" s="149"/>
      <c r="G2" s="149"/>
      <c r="H2" s="149"/>
      <c r="I2" s="149"/>
      <c r="J2" s="149"/>
      <c r="K2" s="149"/>
      <c r="L2" s="149"/>
      <c r="M2" s="149"/>
      <c r="N2" s="149"/>
      <c r="O2" s="149"/>
      <c r="P2" s="149"/>
      <c r="Q2" s="149"/>
      <c r="R2" s="149"/>
    </row>
    <row r="3" spans="2:18" s="20" customFormat="1" ht="8.1" customHeight="1" x14ac:dyDescent="0.35">
      <c r="B3" s="139"/>
      <c r="C3" s="140"/>
      <c r="D3" s="140"/>
      <c r="E3" s="140"/>
      <c r="F3" s="140"/>
      <c r="G3" s="140"/>
      <c r="H3" s="140"/>
      <c r="I3" s="140"/>
      <c r="J3" s="140"/>
      <c r="K3" s="140"/>
      <c r="L3" s="140"/>
      <c r="M3" s="140"/>
      <c r="N3" s="140"/>
      <c r="O3" s="140"/>
      <c r="P3" s="140"/>
      <c r="Q3" s="140"/>
      <c r="R3" s="141"/>
    </row>
    <row r="4" spans="2:18" s="20" customFormat="1" ht="20.100000000000001" customHeight="1" x14ac:dyDescent="0.35">
      <c r="B4" s="142" t="s">
        <v>302</v>
      </c>
      <c r="C4" s="143"/>
      <c r="D4" s="51">
        <f>SUMIF(G:G,"Student",O:O)</f>
        <v>0</v>
      </c>
      <c r="E4" s="169">
        <f>D4+D5</f>
        <v>118980</v>
      </c>
      <c r="F4" s="154">
        <f>SUMIFS(H:H,G:G,"Student",R:R,"&lt;&gt;Error")</f>
        <v>128</v>
      </c>
      <c r="G4" s="49"/>
      <c r="L4" s="146" t="s">
        <v>345</v>
      </c>
      <c r="M4" s="147"/>
      <c r="N4" s="148"/>
      <c r="O4" s="90"/>
      <c r="P4" s="90"/>
      <c r="Q4" s="90"/>
      <c r="R4" s="77"/>
    </row>
    <row r="5" spans="2:18" s="20" customFormat="1" ht="20.100000000000001" customHeight="1" x14ac:dyDescent="0.35">
      <c r="B5" s="144" t="s">
        <v>303</v>
      </c>
      <c r="C5" s="145"/>
      <c r="D5" s="52">
        <f>SUMIF(G:G,"Student",P:P)</f>
        <v>118980</v>
      </c>
      <c r="E5" s="170"/>
      <c r="F5" s="155"/>
      <c r="G5" s="49"/>
      <c r="H5" s="50"/>
      <c r="I5" s="50"/>
      <c r="J5" s="50"/>
      <c r="L5" s="156" t="s">
        <v>354</v>
      </c>
      <c r="M5" s="157"/>
      <c r="N5" s="158"/>
      <c r="O5" s="50"/>
      <c r="P5" s="50"/>
      <c r="Q5" s="50"/>
      <c r="R5" s="77"/>
    </row>
    <row r="6" spans="2:18" s="20" customFormat="1" ht="20.100000000000001" customHeight="1" x14ac:dyDescent="0.35">
      <c r="B6" s="142" t="s">
        <v>304</v>
      </c>
      <c r="C6" s="143"/>
      <c r="D6" s="51">
        <f>SUMIF(G:G,"Staff",O:O)</f>
        <v>9525</v>
      </c>
      <c r="E6" s="167">
        <f>D6+D7</f>
        <v>121685</v>
      </c>
      <c r="F6" s="152">
        <f>SUMIFS(H:H,G:G,"Staff",R:R,"&lt;&gt;Error")</f>
        <v>64</v>
      </c>
      <c r="G6" s="49"/>
      <c r="L6" s="159"/>
      <c r="M6" s="160"/>
      <c r="N6" s="161"/>
      <c r="R6" s="77"/>
    </row>
    <row r="7" spans="2:18" s="20" customFormat="1" ht="20.100000000000001" customHeight="1" x14ac:dyDescent="0.35">
      <c r="B7" s="144" t="s">
        <v>305</v>
      </c>
      <c r="C7" s="145"/>
      <c r="D7" s="52">
        <f>SUMIF(G:G,"Staff",P:P)</f>
        <v>112160</v>
      </c>
      <c r="E7" s="168"/>
      <c r="F7" s="153"/>
      <c r="G7" s="49"/>
      <c r="L7" s="159"/>
      <c r="M7" s="160"/>
      <c r="N7" s="161"/>
      <c r="R7" s="77"/>
    </row>
    <row r="8" spans="2:18" s="20" customFormat="1" ht="20.100000000000001" customHeight="1" x14ac:dyDescent="0.35">
      <c r="B8" s="142" t="s">
        <v>306</v>
      </c>
      <c r="C8" s="143"/>
      <c r="D8" s="51">
        <f>SUM(O:O)</f>
        <v>9525</v>
      </c>
      <c r="E8" s="165">
        <f>D8+D9</f>
        <v>240665</v>
      </c>
      <c r="F8" s="150">
        <f>F4+F6</f>
        <v>192</v>
      </c>
      <c r="G8" s="49"/>
      <c r="L8" s="159"/>
      <c r="M8" s="160"/>
      <c r="N8" s="161"/>
      <c r="R8" s="77"/>
    </row>
    <row r="9" spans="2:18" s="20" customFormat="1" ht="20.100000000000001" customHeight="1" x14ac:dyDescent="0.35">
      <c r="B9" s="144" t="s">
        <v>307</v>
      </c>
      <c r="C9" s="145"/>
      <c r="D9" s="52">
        <f>SUM(P:P)</f>
        <v>231140</v>
      </c>
      <c r="E9" s="166"/>
      <c r="F9" s="151"/>
      <c r="G9" s="49"/>
      <c r="L9" s="159"/>
      <c r="M9" s="160"/>
      <c r="N9" s="161"/>
      <c r="R9" s="77"/>
    </row>
    <row r="10" spans="2:18" s="20" customFormat="1" x14ac:dyDescent="0.35">
      <c r="B10" s="144" t="s">
        <v>344</v>
      </c>
      <c r="C10" s="145"/>
      <c r="D10" s="52">
        <f>SUM(N:N)</f>
        <v>96000</v>
      </c>
      <c r="L10" s="159"/>
      <c r="M10" s="160"/>
      <c r="N10" s="161"/>
      <c r="R10" s="94"/>
    </row>
    <row r="11" spans="2:18" s="45" customFormat="1" ht="62.25" customHeight="1" x14ac:dyDescent="0.35">
      <c r="B11" s="86"/>
      <c r="L11" s="162"/>
      <c r="M11" s="163"/>
      <c r="N11" s="164"/>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172</v>
      </c>
      <c r="C14" s="19" t="s">
        <v>10</v>
      </c>
      <c r="D14" s="42" t="str">
        <f t="shared" si="0"/>
        <v>Privredna komora Srbije</v>
      </c>
      <c r="E14" s="42" t="str">
        <f t="shared" si="1"/>
        <v>Serbia</v>
      </c>
      <c r="F14" s="18" t="s">
        <v>391</v>
      </c>
      <c r="G14" s="78" t="s">
        <v>210</v>
      </c>
      <c r="H14" s="79">
        <v>4</v>
      </c>
      <c r="I14" s="18" t="s">
        <v>392</v>
      </c>
      <c r="J14" s="14" t="s">
        <v>150</v>
      </c>
      <c r="K14" s="79">
        <v>3</v>
      </c>
      <c r="L14" s="92" t="s">
        <v>347</v>
      </c>
      <c r="M14" s="93">
        <v>3000</v>
      </c>
      <c r="N14" s="37">
        <f>IF(AND(M14&gt;0,L14&lt;&gt;""),IF(M14&gt;(ROUND( (ROUND(ROUND(H14,0)*(VLOOKUP(J14,TravelCosts,2,FALSE)),2))/0.65,2)),ROUND(M14*0.8,2),"covered by unit cost"),0)</f>
        <v>2400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660</v>
      </c>
      <c r="Q14" s="38">
        <f>IFERROR(N14+O14+P14,O14+P14)</f>
        <v>3060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5" spans="2:18" s="34" customFormat="1" x14ac:dyDescent="0.3">
      <c r="B15" s="14" t="s">
        <v>172</v>
      </c>
      <c r="C15" s="19" t="s">
        <v>19</v>
      </c>
      <c r="D15" s="42" t="str">
        <f t="shared" ref="D15:D55" si="2">IFERROR(IF(VLOOKUP(C15,PartnerN°Ref,2,FALSE)=0,"",VLOOKUP(C15,PartnerN°Ref,2,FALSE)),"")</f>
        <v>EdukaMont</v>
      </c>
      <c r="E15" s="42" t="str">
        <f t="shared" ref="E15:E55" si="3">IFERROR(IF(OR(VLOOKUP(C15,PartnerN°Ref,4,FALSE)="Country not found",VLOOKUP(C15,PartnerN°Ref,3,FALSE)=0),"",VLOOKUP(C15,PartnerN°Ref,3,FALSE)),"")</f>
        <v>Montenegro</v>
      </c>
      <c r="F15" s="18" t="s">
        <v>394</v>
      </c>
      <c r="G15" s="78" t="s">
        <v>210</v>
      </c>
      <c r="H15" s="79">
        <v>4</v>
      </c>
      <c r="I15" s="18" t="s">
        <v>395</v>
      </c>
      <c r="J15" s="14" t="s">
        <v>151</v>
      </c>
      <c r="K15" s="79">
        <v>3</v>
      </c>
      <c r="L15" s="92" t="s">
        <v>347</v>
      </c>
      <c r="M15" s="93">
        <v>3000</v>
      </c>
      <c r="N15" s="37">
        <f>IF(AND(M15&gt;0,L15&lt;&gt;""),IF(M15&gt;(ROUND( (ROUND(ROUND(H15,0)*(VLOOKUP(J15,TravelCosts,2,FALSE)),2))/0.65,2)),ROUND(M15*0.8,2),"covered by unit cost"),0)</f>
        <v>2400</v>
      </c>
      <c r="O15" s="37">
        <f>IF(OR(AND(L15&lt;&gt;"",M15&gt;0,ISNUMBER(N15)),R15="Error"),0,ROUND(ROUND(H15,0)*(VLOOKUP(J15,TravelCosts,2,FALSE)),2))</f>
        <v>0</v>
      </c>
      <c r="P15" s="37">
        <f>IF(R15="Error",0,IF(AND(G15="Staff",K15&gt;0,K15&lt;15),(120*K15)*H15,IF(AND(G15="Staff",K15&gt;14,K15&lt;61),(1680+((K15-14)*70))*H15,IF(AND(G15="Staff",K15&gt;60,K15&lt;91),(4900+((K15-60)*50))*H15,IF(AND(G15="Student",K15&gt;0,K15&lt;15),(55*K15)*H15,IF(AND(G15="Student",K15&gt;14,K15&lt;91),(770+((K15-14)*40))*H15,0))))))</f>
        <v>660</v>
      </c>
      <c r="Q15" s="38">
        <f>IFERROR(N15+O15+P15,O15+P15)</f>
        <v>3060</v>
      </c>
      <c r="R15" s="91" t="str">
        <f>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4" customFormat="1" x14ac:dyDescent="0.3">
      <c r="B16" s="14" t="s">
        <v>172</v>
      </c>
      <c r="C16" s="19" t="s">
        <v>13</v>
      </c>
      <c r="D16" s="42" t="str">
        <f t="shared" si="2"/>
        <v>University of Helsinki</v>
      </c>
      <c r="E16" s="42" t="str">
        <f t="shared" si="3"/>
        <v>Finland</v>
      </c>
      <c r="F16" s="18" t="s">
        <v>396</v>
      </c>
      <c r="G16" s="78" t="s">
        <v>210</v>
      </c>
      <c r="H16" s="79">
        <v>4</v>
      </c>
      <c r="I16" s="18" t="s">
        <v>392</v>
      </c>
      <c r="J16" s="14" t="s">
        <v>150</v>
      </c>
      <c r="K16" s="79">
        <v>3</v>
      </c>
      <c r="L16" s="92" t="s">
        <v>347</v>
      </c>
      <c r="M16" s="93">
        <v>3000</v>
      </c>
      <c r="N16" s="37">
        <f>IF(AND(M16&gt;0,L16&lt;&gt;""),IF(M16&gt;(ROUND( (ROUND(ROUND(H16,0)*(VLOOKUP(J16,TravelCosts,2,FALSE)),2))/0.65,2)),ROUND(M16*0.8,2),"covered by unit cost"),0)</f>
        <v>2400</v>
      </c>
      <c r="O16" s="37">
        <f>IF(OR(AND(L16&lt;&gt;"",M16&gt;0,ISNUMBER(N16)),R16="Error"),0,ROUND(ROUND(H16,0)*(VLOOKUP(J16,TravelCosts,2,FALSE)),2))</f>
        <v>0</v>
      </c>
      <c r="P16" s="37">
        <f>IF(R16="Error",0,IF(AND(G16="Staff",K16&gt;0,K16&lt;15),(120*K16)*H16,IF(AND(G16="Staff",K16&gt;14,K16&lt;61),(1680+((K16-14)*70))*H16,IF(AND(G16="Staff",K16&gt;60,K16&lt;91),(4900+((K16-60)*50))*H16,IF(AND(G16="Student",K16&gt;0,K16&lt;15),(55*K16)*H16,IF(AND(G16="Student",K16&gt;14,K16&lt;91),(770+((K16-14)*40))*H16,0))))))</f>
        <v>660</v>
      </c>
      <c r="Q16" s="38">
        <f>IFERROR(N16+O16+P16,O16+P16)</f>
        <v>3060</v>
      </c>
      <c r="R16" s="91" t="str">
        <f>IF(OR(COUNTIF(WorkPackage,B16)=0,COUNTIF(PartnerN°,C16)=0,D16="",COUNTIF(CountryALL,E16)=0,F16="",COUNTIF(Category2,G16)=0,ISNUMBER(H16)=FALSE,H16&lt;=0,I16="",COUNTIF(TravelBands,J16)=0,ISNUMBER(K16)=FALSE,OR(K16&lt;0,K16&gt;90),IF(ISNUMBER(H16)=TRUE,H16=INT(H16*1)/1=FALSE),IF(ISNUMBER(K16)=TRUE,K16=INT(K16*1)/1=FALSE),AND(L16&lt;&gt;"",M16=0),AND(L16="",M16&gt;0),ISNUMBER(N16)=FALSE ),"Error","")</f>
        <v/>
      </c>
    </row>
    <row r="17" spans="2:18" s="34" customFormat="1" x14ac:dyDescent="0.3">
      <c r="B17" s="14" t="s">
        <v>172</v>
      </c>
      <c r="C17" s="19" t="s">
        <v>14</v>
      </c>
      <c r="D17" s="42" t="str">
        <f t="shared" si="2"/>
        <v>Radboud University</v>
      </c>
      <c r="E17" s="42" t="str">
        <f t="shared" si="3"/>
        <v>Netherlands</v>
      </c>
      <c r="F17" s="18" t="s">
        <v>392</v>
      </c>
      <c r="G17" s="78" t="s">
        <v>210</v>
      </c>
      <c r="H17" s="79">
        <v>4</v>
      </c>
      <c r="I17" s="18" t="s">
        <v>394</v>
      </c>
      <c r="J17" s="14" t="s">
        <v>150</v>
      </c>
      <c r="K17" s="79">
        <v>3</v>
      </c>
      <c r="L17" s="92" t="s">
        <v>347</v>
      </c>
      <c r="M17" s="93">
        <v>3000</v>
      </c>
      <c r="N17" s="37">
        <f>IF(AND(M17&gt;0,L17&lt;&gt;""),IF(M17&gt;(ROUND( (ROUND(ROUND(H17,0)*(VLOOKUP(J17,TravelCosts,2,FALSE)),2))/0.65,2)),ROUND(M17*0.8,2),"covered by unit cost"),0)</f>
        <v>2400</v>
      </c>
      <c r="O17" s="37">
        <f>IF(OR(AND(L17&lt;&gt;"",M17&gt;0,ISNUMBER(N17)),R17="Error"),0,ROUND(ROUND(H17,0)*(VLOOKUP(J17,TravelCosts,2,FALSE)),2))</f>
        <v>0</v>
      </c>
      <c r="P17" s="37">
        <f>IF(R17="Error",0,IF(AND(G17="Staff",K17&gt;0,K17&lt;15),(120*K17)*H17,IF(AND(G17="Staff",K17&gt;14,K17&lt;61),(1680+((K17-14)*70))*H17,IF(AND(G17="Staff",K17&gt;60,K17&lt;91),(4900+((K17-60)*50))*H17,IF(AND(G17="Student",K17&gt;0,K17&lt;15),(55*K17)*H17,IF(AND(G17="Student",K17&gt;14,K17&lt;91),(770+((K17-14)*40))*H17,0))))))</f>
        <v>660</v>
      </c>
      <c r="Q17" s="38">
        <f>IFERROR(N17+O17+P17,O17+P17)</f>
        <v>3060</v>
      </c>
      <c r="R17" s="91" t="str">
        <f>IF(OR(COUNTIF(WorkPackage,B17)=0,COUNTIF(PartnerN°,C17)=0,D17="",COUNTIF(CountryALL,E17)=0,F17="",COUNTIF(Category2,G17)=0,ISNUMBER(H17)=FALSE,H17&lt;=0,I17="",COUNTIF(TravelBands,J17)=0,ISNUMBER(K17)=FALSE,OR(K17&lt;0,K17&gt;90),IF(ISNUMBER(H17)=TRUE,H17=INT(H17*1)/1=FALSE),IF(ISNUMBER(K17)=TRUE,K17=INT(K17*1)/1=FALSE),AND(L17&lt;&gt;"",M17=0),AND(L17="",M17&gt;0),ISNUMBER(N17)=FALSE ),"Error","")</f>
        <v/>
      </c>
    </row>
    <row r="18" spans="2:18" s="34" customFormat="1" x14ac:dyDescent="0.3">
      <c r="B18" s="14" t="s">
        <v>172</v>
      </c>
      <c r="C18" s="19" t="s">
        <v>156</v>
      </c>
      <c r="D18" s="42" t="str">
        <f t="shared" si="2"/>
        <v>Enterprise Ireland</v>
      </c>
      <c r="E18" s="42" t="str">
        <f t="shared" si="3"/>
        <v>Ireland</v>
      </c>
      <c r="F18" s="18" t="s">
        <v>395</v>
      </c>
      <c r="G18" s="78" t="s">
        <v>210</v>
      </c>
      <c r="H18" s="79">
        <v>4</v>
      </c>
      <c r="I18" s="18" t="s">
        <v>398</v>
      </c>
      <c r="J18" s="14" t="s">
        <v>150</v>
      </c>
      <c r="K18" s="79">
        <v>3</v>
      </c>
      <c r="L18" s="92" t="s">
        <v>347</v>
      </c>
      <c r="M18" s="93">
        <v>3000</v>
      </c>
      <c r="N18" s="37">
        <f>IF(AND(M18&gt;0,L18&lt;&gt;""),IF(M18&gt;(ROUND( (ROUND(ROUND(H18,0)*(VLOOKUP(J18,TravelCosts,2,FALSE)),2))/0.65,2)),ROUND(M18*0.8,2),"covered by unit cost"),0)</f>
        <v>2400</v>
      </c>
      <c r="O18" s="37">
        <f>IF(OR(AND(L18&lt;&gt;"",M18&gt;0,ISNUMBER(N18)),R18="Error"),0,ROUND(ROUND(H18,0)*(VLOOKUP(J18,TravelCosts,2,FALSE)),2))</f>
        <v>0</v>
      </c>
      <c r="P18" s="37">
        <f>IF(R18="Error",0,IF(AND(G18="Staff",K18&gt;0,K18&lt;15),(120*K18)*H18,IF(AND(G18="Staff",K18&gt;14,K18&lt;61),(1680+((K18-14)*70))*H18,IF(AND(G18="Staff",K18&gt;60,K18&lt;91),(4900+((K18-60)*50))*H18,IF(AND(G18="Student",K18&gt;0,K18&lt;15),(55*K18)*H18,IF(AND(G18="Student",K18&gt;14,K18&lt;91),(770+((K18-14)*40))*H18,0))))))</f>
        <v>660</v>
      </c>
      <c r="Q18" s="38">
        <f>IFERROR(N18+O18+P18,O18+P18)</f>
        <v>3060</v>
      </c>
      <c r="R18" s="91" t="str">
        <f>IF(OR(COUNTIF(WorkPackage,B18)=0,COUNTIF(PartnerN°,C18)=0,D18="",COUNTIF(CountryALL,E18)=0,F18="",COUNTIF(Category2,G18)=0,ISNUMBER(H18)=FALSE,H18&lt;=0,I18="",COUNTIF(TravelBands,J18)=0,ISNUMBER(K18)=FALSE,OR(K18&lt;0,K18&gt;90),IF(ISNUMBER(H18)=TRUE,H18=INT(H18*1)/1=FALSE),IF(ISNUMBER(K18)=TRUE,K18=INT(K18*1)/1=FALSE),AND(L18&lt;&gt;"",M18=0),AND(L18="",M18&gt;0),ISNUMBER(N18)=FALSE ),"Error","")</f>
        <v/>
      </c>
    </row>
    <row r="19" spans="2:18" s="34" customFormat="1" x14ac:dyDescent="0.3">
      <c r="B19" s="14" t="s">
        <v>172</v>
      </c>
      <c r="C19" s="19" t="s">
        <v>9</v>
      </c>
      <c r="D19" s="42" t="str">
        <f t="shared" si="2"/>
        <v>Univerzitet u Nisu</v>
      </c>
      <c r="E19" s="42" t="str">
        <f t="shared" si="3"/>
        <v>Serbia</v>
      </c>
      <c r="F19" s="18" t="s">
        <v>399</v>
      </c>
      <c r="G19" s="78" t="s">
        <v>210</v>
      </c>
      <c r="H19" s="79">
        <v>4</v>
      </c>
      <c r="I19" s="18" t="s">
        <v>400</v>
      </c>
      <c r="J19" s="14" t="s">
        <v>149</v>
      </c>
      <c r="K19" s="79">
        <v>3</v>
      </c>
      <c r="L19" s="92" t="s">
        <v>347</v>
      </c>
      <c r="M19" s="93">
        <v>3000</v>
      </c>
      <c r="N19" s="37">
        <f>IF(AND(M19&gt;0,L19&lt;&gt;""),IF(M19&gt;(ROUND( (ROUND(ROUND(H19,0)*(VLOOKUP(J19,TravelCosts,2,FALSE)),2))/0.65,2)),ROUND(M19*0.8,2),"covered by unit cost"),0)</f>
        <v>2400</v>
      </c>
      <c r="O19" s="37">
        <f>IF(OR(AND(L19&lt;&gt;"",M19&gt;0,ISNUMBER(N19)),R19="Error"),0,ROUND(ROUND(H19,0)*(VLOOKUP(J19,TravelCosts,2,FALSE)),2))</f>
        <v>0</v>
      </c>
      <c r="P19" s="37">
        <f>IF(R19="Error",0,IF(AND(G19="Staff",K19&gt;0,K19&lt;15),(120*K19)*H19,IF(AND(G19="Staff",K19&gt;14,K19&lt;61),(1680+((K19-14)*70))*H19,IF(AND(G19="Staff",K19&gt;60,K19&lt;91),(4900+((K19-60)*50))*H19,IF(AND(G19="Student",K19&gt;0,K19&lt;15),(55*K19)*H19,IF(AND(G19="Student",K19&gt;14,K19&lt;91),(770+((K19-14)*40))*H19,0))))))</f>
        <v>660</v>
      </c>
      <c r="Q19" s="38">
        <f>IFERROR(N19+O19+P19,O19+P19)</f>
        <v>3060</v>
      </c>
      <c r="R19" s="91" t="str">
        <f>IF(OR(COUNTIF(WorkPackage,B19)=0,COUNTIF(PartnerN°,C19)=0,D19="",COUNTIF(CountryALL,E19)=0,F19="",COUNTIF(Category2,G19)=0,ISNUMBER(H19)=FALSE,H19&lt;=0,I19="",COUNTIF(TravelBands,J19)=0,ISNUMBER(K19)=FALSE,OR(K19&lt;0,K19&gt;90),IF(ISNUMBER(H19)=TRUE,H19=INT(H19*1)/1=FALSE),IF(ISNUMBER(K19)=TRUE,K19=INT(K19*1)/1=FALSE),AND(L19&lt;&gt;"",M19=0),AND(L19="",M19&gt;0),ISNUMBER(N19)=FALSE ),"Error","")</f>
        <v/>
      </c>
    </row>
    <row r="20" spans="2:18" s="34" customFormat="1" x14ac:dyDescent="0.3">
      <c r="B20" s="14" t="s">
        <v>172</v>
      </c>
      <c r="C20" s="19" t="s">
        <v>11</v>
      </c>
      <c r="D20" s="42" t="str">
        <f t="shared" si="2"/>
        <v>Drustvo za akedmski razvoj (DAR)</v>
      </c>
      <c r="E20" s="42" t="str">
        <f t="shared" si="3"/>
        <v>Serbia</v>
      </c>
      <c r="F20" s="18" t="s">
        <v>391</v>
      </c>
      <c r="G20" s="78" t="s">
        <v>210</v>
      </c>
      <c r="H20" s="79">
        <v>4</v>
      </c>
      <c r="I20" s="18" t="s">
        <v>402</v>
      </c>
      <c r="J20" s="14" t="s">
        <v>150</v>
      </c>
      <c r="K20" s="79">
        <v>3</v>
      </c>
      <c r="L20" s="92" t="s">
        <v>347</v>
      </c>
      <c r="M20" s="93">
        <v>3000</v>
      </c>
      <c r="N20" s="37">
        <f>IF(AND(M20&gt;0,L20&lt;&gt;""),IF(M20&gt;(ROUND( (ROUND(ROUND(H20,0)*(VLOOKUP(J20,TravelCosts,2,FALSE)),2))/0.65,2)),ROUND(M20*0.8,2),"covered by unit cost"),0)</f>
        <v>2400</v>
      </c>
      <c r="O20" s="37">
        <f>IF(OR(AND(L20&lt;&gt;"",M20&gt;0,ISNUMBER(N20)),R20="Error"),0,ROUND(ROUND(H20,0)*(VLOOKUP(J20,TravelCosts,2,FALSE)),2))</f>
        <v>0</v>
      </c>
      <c r="P20" s="37">
        <f>IF(R20="Error",0,IF(AND(G20="Staff",K20&gt;0,K20&lt;15),(120*K20)*H20,IF(AND(G20="Staff",K20&gt;14,K20&lt;61),(1680+((K20-14)*70))*H20,IF(AND(G20="Staff",K20&gt;60,K20&lt;91),(4900+((K20-60)*50))*H20,IF(AND(G20="Student",K20&gt;0,K20&lt;15),(55*K20)*H20,IF(AND(G20="Student",K20&gt;14,K20&lt;91),(770+((K20-14)*40))*H20,0))))))</f>
        <v>660</v>
      </c>
      <c r="Q20" s="38">
        <f>IFERROR(N20+O20+P20,O20+P20)</f>
        <v>3060</v>
      </c>
      <c r="R20" s="91" t="str">
        <f>IF(OR(COUNTIF(WorkPackage,B20)=0,COUNTIF(PartnerN°,C20)=0,D20="",COUNTIF(CountryALL,E20)=0,F20="",COUNTIF(Category2,G20)=0,ISNUMBER(H20)=FALSE,H20&lt;=0,I20="",COUNTIF(TravelBands,J20)=0,ISNUMBER(K20)=FALSE,OR(K20&lt;0,K20&gt;90),IF(ISNUMBER(H20)=TRUE,H20=INT(H20*1)/1=FALSE),IF(ISNUMBER(K20)=TRUE,K20=INT(K20*1)/1=FALSE),AND(L20&lt;&gt;"",M20=0),AND(L20="",M20&gt;0),ISNUMBER(N20)=FALSE ),"Error","")</f>
        <v/>
      </c>
    </row>
    <row r="21" spans="2:18" s="34" customFormat="1" x14ac:dyDescent="0.3">
      <c r="B21" s="14" t="s">
        <v>172</v>
      </c>
      <c r="C21" s="19" t="s">
        <v>14</v>
      </c>
      <c r="D21" s="42" t="str">
        <f t="shared" si="2"/>
        <v>Radboud University</v>
      </c>
      <c r="E21" s="42" t="str">
        <f t="shared" si="3"/>
        <v>Netherlands</v>
      </c>
      <c r="F21" s="18" t="s">
        <v>392</v>
      </c>
      <c r="G21" s="78" t="s">
        <v>210</v>
      </c>
      <c r="H21" s="79">
        <v>4</v>
      </c>
      <c r="I21" s="18" t="s">
        <v>398</v>
      </c>
      <c r="J21" s="14" t="s">
        <v>150</v>
      </c>
      <c r="K21" s="79">
        <v>3</v>
      </c>
      <c r="L21" s="92" t="s">
        <v>347</v>
      </c>
      <c r="M21" s="93">
        <v>3000</v>
      </c>
      <c r="N21" s="37">
        <f>IF(AND(M21&gt;0,L21&lt;&gt;""),IF(M21&gt;(ROUND( (ROUND(ROUND(H21,0)*(VLOOKUP(J21,TravelCosts,2,FALSE)),2))/0.65,2)),ROUND(M21*0.8,2),"covered by unit cost"),0)</f>
        <v>2400</v>
      </c>
      <c r="O21" s="37">
        <f>IF(OR(AND(L21&lt;&gt;"",M21&gt;0,ISNUMBER(N21)),R21="Error"),0,ROUND(ROUND(H21,0)*(VLOOKUP(J21,TravelCosts,2,FALSE)),2))</f>
        <v>0</v>
      </c>
      <c r="P21" s="37">
        <f>IF(R21="Error",0,IF(AND(G21="Staff",K21&gt;0,K21&lt;15),(120*K21)*H21,IF(AND(G21="Staff",K21&gt;14,K21&lt;61),(1680+((K21-14)*70))*H21,IF(AND(G21="Staff",K21&gt;60,K21&lt;91),(4900+((K21-60)*50))*H21,IF(AND(G21="Student",K21&gt;0,K21&lt;15),(55*K21)*H21,IF(AND(G21="Student",K21&gt;14,K21&lt;91),(770+((K21-14)*40))*H21,0))))))</f>
        <v>660</v>
      </c>
      <c r="Q21" s="38">
        <f>IFERROR(N21+O21+P21,O21+P21)</f>
        <v>3060</v>
      </c>
      <c r="R21" s="91" t="str">
        <f>IF(OR(COUNTIF(WorkPackage,B21)=0,COUNTIF(PartnerN°,C21)=0,D21="",COUNTIF(CountryALL,E21)=0,F21="",COUNTIF(Category2,G21)=0,ISNUMBER(H21)=FALSE,H21&lt;=0,I21="",COUNTIF(TravelBands,J21)=0,ISNUMBER(K21)=FALSE,OR(K21&lt;0,K21&gt;90),IF(ISNUMBER(H21)=TRUE,H21=INT(H21*1)/1=FALSE),IF(ISNUMBER(K21)=TRUE,K21=INT(K21*1)/1=FALSE),AND(L21&lt;&gt;"",M21=0),AND(L21="",M21&gt;0),ISNUMBER(N21)=FALSE ),"Error","")</f>
        <v/>
      </c>
    </row>
    <row r="22" spans="2:18" s="34" customFormat="1" x14ac:dyDescent="0.3">
      <c r="B22" s="14" t="s">
        <v>172</v>
      </c>
      <c r="C22" s="19" t="s">
        <v>15</v>
      </c>
      <c r="D22" s="42" t="str">
        <f t="shared" si="2"/>
        <v>Universidad de Salamanca</v>
      </c>
      <c r="E22" s="42" t="str">
        <f t="shared" si="3"/>
        <v>Spain</v>
      </c>
      <c r="F22" s="18" t="s">
        <v>401</v>
      </c>
      <c r="G22" s="78" t="s">
        <v>210</v>
      </c>
      <c r="H22" s="79">
        <v>4</v>
      </c>
      <c r="I22" s="18" t="s">
        <v>395</v>
      </c>
      <c r="J22" s="14" t="s">
        <v>150</v>
      </c>
      <c r="K22" s="79">
        <v>3</v>
      </c>
      <c r="L22" s="92" t="s">
        <v>347</v>
      </c>
      <c r="M22" s="93">
        <v>3000</v>
      </c>
      <c r="N22" s="37">
        <f>IF(AND(M22&gt;0,L22&lt;&gt;""),IF(M22&gt;(ROUND( (ROUND(ROUND(H22,0)*(VLOOKUP(J22,TravelCosts,2,FALSE)),2))/0.65,2)),ROUND(M22*0.8,2),"covered by unit cost"),0)</f>
        <v>2400</v>
      </c>
      <c r="O22" s="37">
        <f>IF(OR(AND(L22&lt;&gt;"",M22&gt;0,ISNUMBER(N22)),R22="Error"),0,ROUND(ROUND(H22,0)*(VLOOKUP(J22,TravelCosts,2,FALSE)),2))</f>
        <v>0</v>
      </c>
      <c r="P22" s="37">
        <f>IF(R22="Error",0,IF(AND(G22="Staff",K22&gt;0,K22&lt;15),(120*K22)*H22,IF(AND(G22="Staff",K22&gt;14,K22&lt;61),(1680+((K22-14)*70))*H22,IF(AND(G22="Staff",K22&gt;60,K22&lt;91),(4900+((K22-60)*50))*H22,IF(AND(G22="Student",K22&gt;0,K22&lt;15),(55*K22)*H22,IF(AND(G22="Student",K22&gt;14,K22&lt;91),(770+((K22-14)*40))*H22,0))))))</f>
        <v>660</v>
      </c>
      <c r="Q22" s="38">
        <f>IFERROR(N22+O22+P22,O22+P22)</f>
        <v>3060</v>
      </c>
      <c r="R22" s="91" t="str">
        <f>IF(OR(COUNTIF(WorkPackage,B22)=0,COUNTIF(PartnerN°,C22)=0,D22="",COUNTIF(CountryALL,E22)=0,F22="",COUNTIF(Category2,G22)=0,ISNUMBER(H22)=FALSE,H22&lt;=0,I22="",COUNTIF(TravelBands,J22)=0,ISNUMBER(K22)=FALSE,OR(K22&lt;0,K22&gt;90),IF(ISNUMBER(H22)=TRUE,H22=INT(H22*1)/1=FALSE),IF(ISNUMBER(K22)=TRUE,K22=INT(K22*1)/1=FALSE),AND(L22&lt;&gt;"",M22=0),AND(L22="",M22&gt;0),ISNUMBER(N22)=FALSE ),"Error","")</f>
        <v/>
      </c>
    </row>
    <row r="23" spans="2:18" s="34" customFormat="1" x14ac:dyDescent="0.3">
      <c r="B23" s="14" t="s">
        <v>172</v>
      </c>
      <c r="C23" s="19" t="s">
        <v>16</v>
      </c>
      <c r="D23" s="42" t="str">
        <f t="shared" si="2"/>
        <v>University of Vienna</v>
      </c>
      <c r="E23" s="42" t="str">
        <f t="shared" si="3"/>
        <v>Austria</v>
      </c>
      <c r="F23" s="18" t="s">
        <v>403</v>
      </c>
      <c r="G23" s="78" t="s">
        <v>210</v>
      </c>
      <c r="H23" s="79">
        <v>4</v>
      </c>
      <c r="I23" s="18" t="s">
        <v>394</v>
      </c>
      <c r="J23" s="14" t="s">
        <v>150</v>
      </c>
      <c r="K23" s="79">
        <v>3</v>
      </c>
      <c r="L23" s="92" t="s">
        <v>347</v>
      </c>
      <c r="M23" s="93">
        <v>3000</v>
      </c>
      <c r="N23" s="37">
        <f>IF(AND(M23&gt;0,L23&lt;&gt;""),IF(M23&gt;(ROUND( (ROUND(ROUND(H23,0)*(VLOOKUP(J23,TravelCosts,2,FALSE)),2))/0.65,2)),ROUND(M23*0.8,2),"covered by unit cost"),0)</f>
        <v>2400</v>
      </c>
      <c r="O23" s="37">
        <f>IF(OR(AND(L23&lt;&gt;"",M23&gt;0,ISNUMBER(N23)),R23="Error"),0,ROUND(ROUND(H23,0)*(VLOOKUP(J23,TravelCosts,2,FALSE)),2))</f>
        <v>0</v>
      </c>
      <c r="P23" s="37">
        <f>IF(R23="Error",0,IF(AND(G23="Staff",K23&gt;0,K23&lt;15),(120*K23)*H23,IF(AND(G23="Staff",K23&gt;14,K23&lt;61),(1680+((K23-14)*70))*H23,IF(AND(G23="Staff",K23&gt;60,K23&lt;91),(4900+((K23-60)*50))*H23,IF(AND(G23="Student",K23&gt;0,K23&lt;15),(55*K23)*H23,IF(AND(G23="Student",K23&gt;14,K23&lt;91),(770+((K23-14)*40))*H23,0))))))</f>
        <v>660</v>
      </c>
      <c r="Q23" s="38">
        <f>IFERROR(N23+O23+P23,O23+P23)</f>
        <v>3060</v>
      </c>
      <c r="R23" s="91" t="str">
        <f>IF(OR(COUNTIF(WorkPackage,B23)=0,COUNTIF(PartnerN°,C23)=0,D23="",COUNTIF(CountryALL,E23)=0,F23="",COUNTIF(Category2,G23)=0,ISNUMBER(H23)=FALSE,H23&lt;=0,I23="",COUNTIF(TravelBands,J23)=0,ISNUMBER(K23)=FALSE,OR(K23&lt;0,K23&gt;90),IF(ISNUMBER(H23)=TRUE,H23=INT(H23*1)/1=FALSE),IF(ISNUMBER(K23)=TRUE,K23=INT(K23*1)/1=FALSE),AND(L23&lt;&gt;"",M23=0),AND(L23="",M23&gt;0),ISNUMBER(N23)=FALSE ),"Error","")</f>
        <v/>
      </c>
    </row>
    <row r="24" spans="2:18" s="34" customFormat="1" x14ac:dyDescent="0.3">
      <c r="B24" s="14" t="s">
        <v>172</v>
      </c>
      <c r="C24" s="19" t="s">
        <v>17</v>
      </c>
      <c r="D24" s="42" t="str">
        <f t="shared" si="2"/>
        <v>Stockholm University</v>
      </c>
      <c r="E24" s="42" t="str">
        <f t="shared" si="3"/>
        <v>Sweden</v>
      </c>
      <c r="F24" s="18" t="s">
        <v>402</v>
      </c>
      <c r="G24" s="78" t="s">
        <v>210</v>
      </c>
      <c r="H24" s="79">
        <v>4</v>
      </c>
      <c r="I24" s="18" t="s">
        <v>392</v>
      </c>
      <c r="J24" s="14" t="s">
        <v>150</v>
      </c>
      <c r="K24" s="79">
        <v>3</v>
      </c>
      <c r="L24" s="92" t="s">
        <v>347</v>
      </c>
      <c r="M24" s="93">
        <v>3000</v>
      </c>
      <c r="N24" s="37">
        <f>IF(AND(M24&gt;0,L24&lt;&gt;""),IF(M24&gt;(ROUND( (ROUND(ROUND(H24,0)*(VLOOKUP(J24,TravelCosts,2,FALSE)),2))/0.65,2)),ROUND(M24*0.8,2),"covered by unit cost"),0)</f>
        <v>2400</v>
      </c>
      <c r="O24" s="37">
        <f>IF(OR(AND(L24&lt;&gt;"",M24&gt;0,ISNUMBER(N24)),R24="Error"),0,ROUND(ROUND(H24,0)*(VLOOKUP(J24,TravelCosts,2,FALSE)),2))</f>
        <v>0</v>
      </c>
      <c r="P24" s="37">
        <f>IF(R24="Error",0,IF(AND(G24="Staff",K24&gt;0,K24&lt;15),(120*K24)*H24,IF(AND(G24="Staff",K24&gt;14,K24&lt;61),(1680+((K24-14)*70))*H24,IF(AND(G24="Staff",K24&gt;60,K24&lt;91),(4900+((K24-60)*50))*H24,IF(AND(G24="Student",K24&gt;0,K24&lt;15),(55*K24)*H24,IF(AND(G24="Student",K24&gt;14,K24&lt;91),(770+((K24-14)*40))*H24,0))))))</f>
        <v>660</v>
      </c>
      <c r="Q24" s="38">
        <f>IFERROR(N24+O24+P24,O24+P24)</f>
        <v>3060</v>
      </c>
      <c r="R24" s="91" t="str">
        <f>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4" customFormat="1" x14ac:dyDescent="0.3">
      <c r="B25" s="14" t="s">
        <v>172</v>
      </c>
      <c r="C25" s="19" t="s">
        <v>9</v>
      </c>
      <c r="D25" s="42" t="str">
        <f t="shared" si="2"/>
        <v>Univerzitet u Nisu</v>
      </c>
      <c r="E25" s="42" t="str">
        <f t="shared" si="3"/>
        <v>Serbia</v>
      </c>
      <c r="F25" s="18" t="s">
        <v>399</v>
      </c>
      <c r="G25" s="78" t="s">
        <v>208</v>
      </c>
      <c r="H25" s="79">
        <v>1</v>
      </c>
      <c r="I25" s="18" t="s">
        <v>396</v>
      </c>
      <c r="J25" s="14" t="s">
        <v>150</v>
      </c>
      <c r="K25" s="79">
        <v>3</v>
      </c>
      <c r="L25" s="92" t="s">
        <v>347</v>
      </c>
      <c r="M25" s="93">
        <v>3000</v>
      </c>
      <c r="N25" s="37">
        <f>IF(AND(M25&gt;0,L25&lt;&gt;""),IF(M25&gt;(ROUND( (ROUND(ROUND(H25,0)*(VLOOKUP(J25,TravelCosts,2,FALSE)),2))/0.65,2)),ROUND(M25*0.8,2),"covered by unit cost"),0)</f>
        <v>2400</v>
      </c>
      <c r="O25" s="37">
        <f>IF(OR(AND(L25&lt;&gt;"",M25&gt;0,ISNUMBER(N25)),R25="Error"),0,ROUND(ROUND(H25,0)*(VLOOKUP(J25,TravelCosts,2,FALSE)),2))</f>
        <v>0</v>
      </c>
      <c r="P25" s="37">
        <f>IF(R25="Error",0,IF(AND(G25="Staff",K25&gt;0,K25&lt;15),(120*K25)*H25,IF(AND(G25="Staff",K25&gt;14,K25&lt;61),(1680+((K25-14)*70))*H25,IF(AND(G25="Staff",K25&gt;60,K25&lt;91),(4900+((K25-60)*50))*H25,IF(AND(G25="Student",K25&gt;0,K25&lt;15),(55*K25)*H25,IF(AND(G25="Student",K25&gt;14,K25&lt;91),(770+((K25-14)*40))*H25,0))))))</f>
        <v>360</v>
      </c>
      <c r="Q25" s="38">
        <f>IFERROR(N25+O25+P25,O25+P25)</f>
        <v>2760</v>
      </c>
      <c r="R25" s="91" t="str">
        <f>IF(OR(COUNTIF(WorkPackage,B25)=0,COUNTIF(PartnerN°,C25)=0,D25="",COUNTIF(CountryALL,E25)=0,F25="",COUNTIF(Category2,G25)=0,ISNUMBER(H25)=FALSE,H25&lt;=0,I25="",COUNTIF(TravelBands,J25)=0,ISNUMBER(K25)=FALSE,OR(K25&lt;0,K25&gt;90),IF(ISNUMBER(H25)=TRUE,H25=INT(H25*1)/1=FALSE),IF(ISNUMBER(K25)=TRUE,K25=INT(K25*1)/1=FALSE),AND(L25&lt;&gt;"",M25=0),AND(L25="",M25&gt;0),ISNUMBER(N25)=FALSE ),"Error","")</f>
        <v/>
      </c>
    </row>
    <row r="26" spans="2:18" s="34" customFormat="1" x14ac:dyDescent="0.3">
      <c r="B26" s="14" t="s">
        <v>172</v>
      </c>
      <c r="C26" s="19" t="s">
        <v>10</v>
      </c>
      <c r="D26" s="42" t="str">
        <f t="shared" si="2"/>
        <v>Privredna komora Srbije</v>
      </c>
      <c r="E26" s="42" t="str">
        <f t="shared" si="3"/>
        <v>Serbia</v>
      </c>
      <c r="F26" s="18" t="s">
        <v>391</v>
      </c>
      <c r="G26" s="78" t="s">
        <v>208</v>
      </c>
      <c r="H26" s="79">
        <v>3</v>
      </c>
      <c r="I26" s="18" t="s">
        <v>397</v>
      </c>
      <c r="J26" s="14" t="s">
        <v>150</v>
      </c>
      <c r="K26" s="79">
        <v>7</v>
      </c>
      <c r="L26" s="92" t="s">
        <v>347</v>
      </c>
      <c r="M26" s="93">
        <v>3000</v>
      </c>
      <c r="N26" s="37">
        <f>IF(AND(M26&gt;0,L26&lt;&gt;""),IF(M26&gt;(ROUND( (ROUND(ROUND(H26,0)*(VLOOKUP(J26,TravelCosts,2,FALSE)),2))/0.65,2)),ROUND(M26*0.8,2),"covered by unit cost"),0)</f>
        <v>2400</v>
      </c>
      <c r="O26" s="37">
        <f>IF(OR(AND(L26&lt;&gt;"",M26&gt;0,ISNUMBER(N26)),R26="Error"),0,ROUND(ROUND(H26,0)*(VLOOKUP(J26,TravelCosts,2,FALSE)),2))</f>
        <v>0</v>
      </c>
      <c r="P26" s="37">
        <f>IF(R26="Error",0,IF(AND(G26="Staff",K26&gt;0,K26&lt;15),(120*K26)*H26,IF(AND(G26="Staff",K26&gt;14,K26&lt;61),(1680+((K26-14)*70))*H26,IF(AND(G26="Staff",K26&gt;60,K26&lt;91),(4900+((K26-60)*50))*H26,IF(AND(G26="Student",K26&gt;0,K26&lt;15),(55*K26)*H26,IF(AND(G26="Student",K26&gt;14,K26&lt;91),(770+((K26-14)*40))*H26,0))))))</f>
        <v>2520</v>
      </c>
      <c r="Q26" s="38">
        <f>IFERROR(N26+O26+P26,O26+P26)</f>
        <v>4920</v>
      </c>
      <c r="R26" s="91" t="str">
        <f>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4" customFormat="1" x14ac:dyDescent="0.3">
      <c r="B27" s="14" t="s">
        <v>172</v>
      </c>
      <c r="C27" s="19" t="s">
        <v>11</v>
      </c>
      <c r="D27" s="42" t="str">
        <f t="shared" si="2"/>
        <v>Drustvo za akedmski razvoj (DAR)</v>
      </c>
      <c r="E27" s="42" t="str">
        <f t="shared" si="3"/>
        <v>Serbia</v>
      </c>
      <c r="F27" s="18" t="s">
        <v>391</v>
      </c>
      <c r="G27" s="78" t="s">
        <v>208</v>
      </c>
      <c r="H27" s="79">
        <v>2</v>
      </c>
      <c r="I27" s="18" t="s">
        <v>392</v>
      </c>
      <c r="J27" s="14" t="s">
        <v>150</v>
      </c>
      <c r="K27" s="79">
        <v>3</v>
      </c>
      <c r="L27" s="92" t="s">
        <v>347</v>
      </c>
      <c r="M27" s="93">
        <v>3000</v>
      </c>
      <c r="N27" s="37">
        <f>IF(AND(M27&gt;0,L27&lt;&gt;""),IF(M27&gt;(ROUND( (ROUND(ROUND(H27,0)*(VLOOKUP(J27,TravelCosts,2,FALSE)),2))/0.65,2)),ROUND(M27*0.8,2),"covered by unit cost"),0)</f>
        <v>2400</v>
      </c>
      <c r="O27" s="37">
        <f>IF(OR(AND(L27&lt;&gt;"",M27&gt;0,ISNUMBER(N27)),R27="Error"),0,ROUND(ROUND(H27,0)*(VLOOKUP(J27,TravelCosts,2,FALSE)),2))</f>
        <v>0</v>
      </c>
      <c r="P27" s="37">
        <f>IF(R27="Error",0,IF(AND(G27="Staff",K27&gt;0,K27&lt;15),(120*K27)*H27,IF(AND(G27="Staff",K27&gt;14,K27&lt;61),(1680+((K27-14)*70))*H27,IF(AND(G27="Staff",K27&gt;60,K27&lt;91),(4900+((K27-60)*50))*H27,IF(AND(G27="Student",K27&gt;0,K27&lt;15),(55*K27)*H27,IF(AND(G27="Student",K27&gt;14,K27&lt;91),(770+((K27-14)*40))*H27,0))))))</f>
        <v>720</v>
      </c>
      <c r="Q27" s="38">
        <f>IFERROR(N27+O27+P27,O27+P27)</f>
        <v>3120</v>
      </c>
      <c r="R27" s="91" t="str">
        <f>IF(OR(COUNTIF(WorkPackage,B27)=0,COUNTIF(PartnerN°,C27)=0,D27="",COUNTIF(CountryALL,E27)=0,F27="",COUNTIF(Category2,G27)=0,ISNUMBER(H27)=FALSE,H27&lt;=0,I27="",COUNTIF(TravelBands,J27)=0,ISNUMBER(K27)=FALSE,OR(K27&lt;0,K27&gt;90),IF(ISNUMBER(H27)=TRUE,H27=INT(H27*1)/1=FALSE),IF(ISNUMBER(K27)=TRUE,K27=INT(K27*1)/1=FALSE),AND(L27&lt;&gt;"",M27=0),AND(L27="",M27&gt;0),ISNUMBER(N27)=FALSE ),"Error","")</f>
        <v/>
      </c>
    </row>
    <row r="28" spans="2:18" s="34" customFormat="1" x14ac:dyDescent="0.3">
      <c r="B28" s="14" t="s">
        <v>172</v>
      </c>
      <c r="C28" s="19" t="s">
        <v>12</v>
      </c>
      <c r="D28" s="42" t="str">
        <f t="shared" si="2"/>
        <v>Ministarstvo prosvete, nauke I tehnoloskog razvoja</v>
      </c>
      <c r="E28" s="42" t="str">
        <f t="shared" si="3"/>
        <v>Serbia</v>
      </c>
      <c r="F28" s="18" t="s">
        <v>391</v>
      </c>
      <c r="G28" s="78" t="s">
        <v>208</v>
      </c>
      <c r="H28" s="79">
        <v>2</v>
      </c>
      <c r="I28" s="18" t="s">
        <v>395</v>
      </c>
      <c r="J28" s="14" t="s">
        <v>151</v>
      </c>
      <c r="K28" s="79">
        <v>3</v>
      </c>
      <c r="L28" s="92" t="s">
        <v>347</v>
      </c>
      <c r="M28" s="93">
        <v>3000</v>
      </c>
      <c r="N28" s="37">
        <f>IF(AND(M28&gt;0,L28&lt;&gt;""),IF(M28&gt;(ROUND( (ROUND(ROUND(H28,0)*(VLOOKUP(J28,TravelCosts,2,FALSE)),2))/0.65,2)),ROUND(M28*0.8,2),"covered by unit cost"),0)</f>
        <v>2400</v>
      </c>
      <c r="O28" s="37">
        <f>IF(OR(AND(L28&lt;&gt;"",M28&gt;0,ISNUMBER(N28)),R28="Error"),0,ROUND(ROUND(H28,0)*(VLOOKUP(J28,TravelCosts,2,FALSE)),2))</f>
        <v>0</v>
      </c>
      <c r="P28" s="37">
        <f>IF(R28="Error",0,IF(AND(G28="Staff",K28&gt;0,K28&lt;15),(120*K28)*H28,IF(AND(G28="Staff",K28&gt;14,K28&lt;61),(1680+((K28-14)*70))*H28,IF(AND(G28="Staff",K28&gt;60,K28&lt;91),(4900+((K28-60)*50))*H28,IF(AND(G28="Student",K28&gt;0,K28&lt;15),(55*K28)*H28,IF(AND(G28="Student",K28&gt;14,K28&lt;91),(770+((K28-14)*40))*H28,0))))))</f>
        <v>720</v>
      </c>
      <c r="Q28" s="38">
        <f>IFERROR(N28+O28+P28,O28+P28)</f>
        <v>3120</v>
      </c>
      <c r="R28" s="91" t="str">
        <f>IF(OR(COUNTIF(WorkPackage,B28)=0,COUNTIF(PartnerN°,C28)=0,D28="",COUNTIF(CountryALL,E28)=0,F28="",COUNTIF(Category2,G28)=0,ISNUMBER(H28)=FALSE,H28&lt;=0,I28="",COUNTIF(TravelBands,J28)=0,ISNUMBER(K28)=FALSE,OR(K28&lt;0,K28&gt;90),IF(ISNUMBER(H28)=TRUE,H28=INT(H28*1)/1=FALSE),IF(ISNUMBER(K28)=TRUE,K28=INT(K28*1)/1=FALSE),AND(L28&lt;&gt;"",M28=0),AND(L28="",M28&gt;0),ISNUMBER(N28)=FALSE ),"Error","")</f>
        <v/>
      </c>
    </row>
    <row r="29" spans="2:18" s="34" customFormat="1" x14ac:dyDescent="0.3">
      <c r="B29" s="14" t="s">
        <v>172</v>
      </c>
      <c r="C29" s="19" t="s">
        <v>13</v>
      </c>
      <c r="D29" s="42" t="str">
        <f t="shared" si="2"/>
        <v>University of Helsinki</v>
      </c>
      <c r="E29" s="42" t="str">
        <f t="shared" si="3"/>
        <v>Finland</v>
      </c>
      <c r="F29" s="18" t="s">
        <v>395</v>
      </c>
      <c r="G29" s="78" t="s">
        <v>208</v>
      </c>
      <c r="H29" s="79">
        <v>2</v>
      </c>
      <c r="I29" s="18" t="s">
        <v>392</v>
      </c>
      <c r="J29" s="14" t="s">
        <v>150</v>
      </c>
      <c r="K29" s="79">
        <v>3</v>
      </c>
      <c r="L29" s="92" t="s">
        <v>347</v>
      </c>
      <c r="M29" s="93">
        <v>3000</v>
      </c>
      <c r="N29" s="37">
        <f>IF(AND(M29&gt;0,L29&lt;&gt;""),IF(M29&gt;(ROUND( (ROUND(ROUND(H29,0)*(VLOOKUP(J29,TravelCosts,2,FALSE)),2))/0.65,2)),ROUND(M29*0.8,2),"covered by unit cost"),0)</f>
        <v>2400</v>
      </c>
      <c r="O29" s="37">
        <f>IF(OR(AND(L29&lt;&gt;"",M29&gt;0,ISNUMBER(N29)),R29="Error"),0,ROUND(ROUND(H29,0)*(VLOOKUP(J29,TravelCosts,2,FALSE)),2))</f>
        <v>0</v>
      </c>
      <c r="P29" s="37">
        <f>IF(R29="Error",0,IF(AND(G29="Staff",K29&gt;0,K29&lt;15),(120*K29)*H29,IF(AND(G29="Staff",K29&gt;14,K29&lt;61),(1680+((K29-14)*70))*H29,IF(AND(G29="Staff",K29&gt;60,K29&lt;91),(4900+((K29-60)*50))*H29,IF(AND(G29="Student",K29&gt;0,K29&lt;15),(55*K29)*H29,IF(AND(G29="Student",K29&gt;14,K29&lt;91),(770+((K29-14)*40))*H29,0))))))</f>
        <v>720</v>
      </c>
      <c r="Q29" s="38">
        <f>IFERROR(N29+O29+P29,O29+P29)</f>
        <v>3120</v>
      </c>
      <c r="R29" s="91" t="str">
        <f>IF(OR(COUNTIF(WorkPackage,B29)=0,COUNTIF(PartnerN°,C29)=0,D29="",COUNTIF(CountryALL,E29)=0,F29="",COUNTIF(Category2,G29)=0,ISNUMBER(H29)=FALSE,H29&lt;=0,I29="",COUNTIF(TravelBands,J29)=0,ISNUMBER(K29)=FALSE,OR(K29&lt;0,K29&gt;90),IF(ISNUMBER(H29)=TRUE,H29=INT(H29*1)/1=FALSE),IF(ISNUMBER(K29)=TRUE,K29=INT(K29*1)/1=FALSE),AND(L29&lt;&gt;"",M29=0),AND(L29="",M29&gt;0),ISNUMBER(N29)=FALSE ),"Error","")</f>
        <v/>
      </c>
    </row>
    <row r="30" spans="2:18" s="34" customFormat="1" x14ac:dyDescent="0.3">
      <c r="B30" s="14" t="s">
        <v>172</v>
      </c>
      <c r="C30" s="19" t="s">
        <v>14</v>
      </c>
      <c r="D30" s="42" t="str">
        <f t="shared" si="2"/>
        <v>Radboud University</v>
      </c>
      <c r="E30" s="42" t="str">
        <f t="shared" si="3"/>
        <v>Netherlands</v>
      </c>
      <c r="F30" s="18" t="s">
        <v>392</v>
      </c>
      <c r="G30" s="78" t="s">
        <v>208</v>
      </c>
      <c r="H30" s="79">
        <v>2</v>
      </c>
      <c r="I30" s="18" t="s">
        <v>403</v>
      </c>
      <c r="J30" s="14" t="s">
        <v>150</v>
      </c>
      <c r="K30" s="79">
        <v>3</v>
      </c>
      <c r="L30" s="92" t="s">
        <v>347</v>
      </c>
      <c r="M30" s="93">
        <v>3000</v>
      </c>
      <c r="N30" s="37">
        <f>IF(AND(M30&gt;0,L30&lt;&gt;""),IF(M30&gt;(ROUND( (ROUND(ROUND(H30,0)*(VLOOKUP(J30,TravelCosts,2,FALSE)),2))/0.65,2)),ROUND(M30*0.8,2),"covered by unit cost"),0)</f>
        <v>2400</v>
      </c>
      <c r="O30" s="37">
        <f>IF(OR(AND(L30&lt;&gt;"",M30&gt;0,ISNUMBER(N30)),R30="Error"),0,ROUND(ROUND(H30,0)*(VLOOKUP(J30,TravelCosts,2,FALSE)),2))</f>
        <v>0</v>
      </c>
      <c r="P30" s="37">
        <f>IF(R30="Error",0,IF(AND(G30="Staff",K30&gt;0,K30&lt;15),(120*K30)*H30,IF(AND(G30="Staff",K30&gt;14,K30&lt;61),(1680+((K30-14)*70))*H30,IF(AND(G30="Staff",K30&gt;60,K30&lt;91),(4900+((K30-60)*50))*H30,IF(AND(G30="Student",K30&gt;0,K30&lt;15),(55*K30)*H30,IF(AND(G30="Student",K30&gt;14,K30&lt;91),(770+((K30-14)*40))*H30,0))))))</f>
        <v>720</v>
      </c>
      <c r="Q30" s="38">
        <f>IFERROR(N30+O30+P30,O30+P30)</f>
        <v>3120</v>
      </c>
      <c r="R30" s="91" t="str">
        <f>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172</v>
      </c>
      <c r="C31" s="19" t="s">
        <v>15</v>
      </c>
      <c r="D31" s="42" t="str">
        <f t="shared" si="2"/>
        <v>Universidad de Salamanca</v>
      </c>
      <c r="E31" s="42" t="str">
        <f t="shared" si="3"/>
        <v>Spain</v>
      </c>
      <c r="F31" s="18" t="s">
        <v>401</v>
      </c>
      <c r="G31" s="78" t="s">
        <v>208</v>
      </c>
      <c r="H31" s="79">
        <v>2</v>
      </c>
      <c r="I31" s="18" t="s">
        <v>394</v>
      </c>
      <c r="J31" s="14" t="s">
        <v>151</v>
      </c>
      <c r="K31" s="79">
        <v>3</v>
      </c>
      <c r="L31" s="92" t="s">
        <v>347</v>
      </c>
      <c r="M31" s="93">
        <v>3000</v>
      </c>
      <c r="N31" s="37">
        <f>IF(AND(M31&gt;0,L31&lt;&gt;""),IF(M31&gt;(ROUND( (ROUND(ROUND(H31,0)*(VLOOKUP(J31,TravelCosts,2,FALSE)),2))/0.65,2)),ROUND(M31*0.8,2),"covered by unit cost"),0)</f>
        <v>2400</v>
      </c>
      <c r="O31" s="37">
        <f>IF(OR(AND(L31&lt;&gt;"",M31&gt;0,ISNUMBER(N31)),R31="Error"),0,ROUND(ROUND(H31,0)*(VLOOKUP(J31,TravelCosts,2,FALSE)),2))</f>
        <v>0</v>
      </c>
      <c r="P31" s="37">
        <f>IF(R31="Error",0,IF(AND(G31="Staff",K31&gt;0,K31&lt;15),(120*K31)*H31,IF(AND(G31="Staff",K31&gt;14,K31&lt;61),(1680+((K31-14)*70))*H31,IF(AND(G31="Staff",K31&gt;60,K31&lt;91),(4900+((K31-60)*50))*H31,IF(AND(G31="Student",K31&gt;0,K31&lt;15),(55*K31)*H31,IF(AND(G31="Student",K31&gt;14,K31&lt;91),(770+((K31-14)*40))*H31,0))))))</f>
        <v>720</v>
      </c>
      <c r="Q31" s="38">
        <f>IFERROR(N31+O31+P31,O31+P31)</f>
        <v>3120</v>
      </c>
      <c r="R31" s="91" t="str">
        <f>IF(OR(COUNTIF(WorkPackage,B31)=0,COUNTIF(PartnerN°,C31)=0,D31="",COUNTIF(CountryALL,E31)=0,F31="",COUNTIF(Category2,G31)=0,ISNUMBER(H31)=FALSE,H31&lt;=0,I31="",COUNTIF(TravelBands,J31)=0,ISNUMBER(K31)=FALSE,OR(K31&lt;0,K31&gt;90),IF(ISNUMBER(H31)=TRUE,H31=INT(H31*1)/1=FALSE),IF(ISNUMBER(K31)=TRUE,K31=INT(K31*1)/1=FALSE),AND(L31&lt;&gt;"",M31=0),AND(L31="",M31&gt;0),ISNUMBER(N31)=FALSE ),"Error","")</f>
        <v/>
      </c>
    </row>
    <row r="32" spans="2:18" s="34" customFormat="1" x14ac:dyDescent="0.3">
      <c r="B32" s="14" t="s">
        <v>172</v>
      </c>
      <c r="C32" s="19" t="s">
        <v>156</v>
      </c>
      <c r="D32" s="42" t="str">
        <f t="shared" si="2"/>
        <v>Enterprise Ireland</v>
      </c>
      <c r="E32" s="42" t="str">
        <f t="shared" si="3"/>
        <v>Ireland</v>
      </c>
      <c r="F32" s="18" t="s">
        <v>395</v>
      </c>
      <c r="G32" s="78" t="s">
        <v>208</v>
      </c>
      <c r="H32" s="79">
        <v>2</v>
      </c>
      <c r="I32" s="18" t="s">
        <v>403</v>
      </c>
      <c r="J32" s="14" t="s">
        <v>150</v>
      </c>
      <c r="K32" s="79">
        <v>3</v>
      </c>
      <c r="L32" s="92" t="s">
        <v>347</v>
      </c>
      <c r="M32" s="93">
        <v>3000</v>
      </c>
      <c r="N32" s="37">
        <f>IF(AND(M32&gt;0,L32&lt;&gt;""),IF(M32&gt;(ROUND( (ROUND(ROUND(H32,0)*(VLOOKUP(J32,TravelCosts,2,FALSE)),2))/0.65,2)),ROUND(M32*0.8,2),"covered by unit cost"),0)</f>
        <v>2400</v>
      </c>
      <c r="O32" s="37">
        <f>IF(OR(AND(L32&lt;&gt;"",M32&gt;0,ISNUMBER(N32)),R32="Error"),0,ROUND(ROUND(H32,0)*(VLOOKUP(J32,TravelCosts,2,FALSE)),2))</f>
        <v>0</v>
      </c>
      <c r="P32" s="37">
        <f>IF(R32="Error",0,IF(AND(G32="Staff",K32&gt;0,K32&lt;15),(120*K32)*H32,IF(AND(G32="Staff",K32&gt;14,K32&lt;61),(1680+((K32-14)*70))*H32,IF(AND(G32="Staff",K32&gt;60,K32&lt;91),(4900+((K32-60)*50))*H32,IF(AND(G32="Student",K32&gt;0,K32&lt;15),(55*K32)*H32,IF(AND(G32="Student",K32&gt;14,K32&lt;91),(770+((K32-14)*40))*H32,0))))))</f>
        <v>720</v>
      </c>
      <c r="Q32" s="38">
        <f>IFERROR(N32+O32+P32,O32+P32)</f>
        <v>3120</v>
      </c>
      <c r="R32" s="91" t="str">
        <f>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34" customFormat="1" x14ac:dyDescent="0.3">
      <c r="B33" s="14" t="s">
        <v>172</v>
      </c>
      <c r="C33" s="19" t="s">
        <v>16</v>
      </c>
      <c r="D33" s="42" t="str">
        <f t="shared" si="2"/>
        <v>University of Vienna</v>
      </c>
      <c r="E33" s="42" t="str">
        <f t="shared" si="3"/>
        <v>Austria</v>
      </c>
      <c r="F33" s="18" t="s">
        <v>403</v>
      </c>
      <c r="G33" s="78" t="s">
        <v>208</v>
      </c>
      <c r="H33" s="79">
        <v>2</v>
      </c>
      <c r="I33" s="18" t="s">
        <v>396</v>
      </c>
      <c r="J33" s="14" t="s">
        <v>150</v>
      </c>
      <c r="K33" s="79">
        <v>3</v>
      </c>
      <c r="L33" s="92" t="s">
        <v>347</v>
      </c>
      <c r="M33" s="93">
        <v>3000</v>
      </c>
      <c r="N33" s="37">
        <f>IF(AND(M33&gt;0,L33&lt;&gt;""),IF(M33&gt;(ROUND( (ROUND(ROUND(H33,0)*(VLOOKUP(J33,TravelCosts,2,FALSE)),2))/0.65,2)),ROUND(M33*0.8,2),"covered by unit cost"),0)</f>
        <v>2400</v>
      </c>
      <c r="O33" s="37">
        <f>IF(OR(AND(L33&lt;&gt;"",M33&gt;0,ISNUMBER(N33)),R33="Error"),0,ROUND(ROUND(H33,0)*(VLOOKUP(J33,TravelCosts,2,FALSE)),2))</f>
        <v>0</v>
      </c>
      <c r="P33" s="37">
        <f>IF(R33="Error",0,IF(AND(G33="Staff",K33&gt;0,K33&lt;15),(120*K33)*H33,IF(AND(G33="Staff",K33&gt;14,K33&lt;61),(1680+((K33-14)*70))*H33,IF(AND(G33="Staff",K33&gt;60,K33&lt;91),(4900+((K33-60)*50))*H33,IF(AND(G33="Student",K33&gt;0,K33&lt;15),(55*K33)*H33,IF(AND(G33="Student",K33&gt;14,K33&lt;91),(770+((K33-14)*40))*H33,0))))))</f>
        <v>720</v>
      </c>
      <c r="Q33" s="38">
        <f>IFERROR(N33+O33+P33,O33+P33)</f>
        <v>3120</v>
      </c>
      <c r="R33" s="91" t="str">
        <f>IF(OR(COUNTIF(WorkPackage,B33)=0,COUNTIF(PartnerN°,C33)=0,D33="",COUNTIF(CountryALL,E33)=0,F33="",COUNTIF(Category2,G33)=0,ISNUMBER(H33)=FALSE,H33&lt;=0,I33="",COUNTIF(TravelBands,J33)=0,ISNUMBER(K33)=FALSE,OR(K33&lt;0,K33&gt;90),IF(ISNUMBER(H33)=TRUE,H33=INT(H33*1)/1=FALSE),IF(ISNUMBER(K33)=TRUE,K33=INT(K33*1)/1=FALSE),AND(L33&lt;&gt;"",M33=0),AND(L33="",M33&gt;0),ISNUMBER(N33)=FALSE ),"Error","")</f>
        <v/>
      </c>
    </row>
    <row r="34" spans="2:18" s="34" customFormat="1" x14ac:dyDescent="0.3">
      <c r="B34" s="14" t="s">
        <v>172</v>
      </c>
      <c r="C34" s="19" t="s">
        <v>20</v>
      </c>
      <c r="D34" s="42" t="str">
        <f t="shared" si="2"/>
        <v>Uniwersytet Warszawski</v>
      </c>
      <c r="E34" s="42" t="str">
        <f t="shared" si="3"/>
        <v>Poland</v>
      </c>
      <c r="F34" s="18" t="s">
        <v>404</v>
      </c>
      <c r="G34" s="78" t="s">
        <v>208</v>
      </c>
      <c r="H34" s="79">
        <v>2</v>
      </c>
      <c r="I34" s="18" t="s">
        <v>400</v>
      </c>
      <c r="J34" s="14" t="s">
        <v>150</v>
      </c>
      <c r="K34" s="79">
        <v>3</v>
      </c>
      <c r="L34" s="92" t="s">
        <v>347</v>
      </c>
      <c r="M34" s="93">
        <v>3000</v>
      </c>
      <c r="N34" s="37">
        <f>IF(AND(M34&gt;0,L34&lt;&gt;""),IF(M34&gt;(ROUND( (ROUND(ROUND(H34,0)*(VLOOKUP(J34,TravelCosts,2,FALSE)),2))/0.65,2)),ROUND(M34*0.8,2),"covered by unit cost"),0)</f>
        <v>2400</v>
      </c>
      <c r="O34" s="37">
        <f>IF(OR(AND(L34&lt;&gt;"",M34&gt;0,ISNUMBER(N34)),R34="Error"),0,ROUND(ROUND(H34,0)*(VLOOKUP(J34,TravelCosts,2,FALSE)),2))</f>
        <v>0</v>
      </c>
      <c r="P34" s="37">
        <f>IF(R34="Error",0,IF(AND(G34="Staff",K34&gt;0,K34&lt;15),(120*K34)*H34,IF(AND(G34="Staff",K34&gt;14,K34&lt;61),(1680+((K34-14)*70))*H34,IF(AND(G34="Staff",K34&gt;60,K34&lt;91),(4900+((K34-60)*50))*H34,IF(AND(G34="Student",K34&gt;0,K34&lt;15),(55*K34)*H34,IF(AND(G34="Student",K34&gt;14,K34&lt;91),(770+((K34-14)*40))*H34,0))))))</f>
        <v>720</v>
      </c>
      <c r="Q34" s="38">
        <f>IFERROR(N34+O34+P34,O34+P34)</f>
        <v>3120</v>
      </c>
      <c r="R34" s="91" t="str">
        <f>IF(OR(COUNTIF(WorkPackage,B34)=0,COUNTIF(PartnerN°,C34)=0,D34="",COUNTIF(CountryALL,E34)=0,F34="",COUNTIF(Category2,G34)=0,ISNUMBER(H34)=FALSE,H34&lt;=0,I34="",COUNTIF(TravelBands,J34)=0,ISNUMBER(K34)=FALSE,OR(K34&lt;0,K34&gt;90),IF(ISNUMBER(H34)=TRUE,H34=INT(H34*1)/1=FALSE),IF(ISNUMBER(K34)=TRUE,K34=INT(K34*1)/1=FALSE),AND(L34&lt;&gt;"",M34=0),AND(L34="",M34&gt;0),ISNUMBER(N34)=FALSE ),"Error","")</f>
        <v/>
      </c>
    </row>
    <row r="35" spans="2:18" s="34" customFormat="1" x14ac:dyDescent="0.3">
      <c r="B35" s="14" t="s">
        <v>172</v>
      </c>
      <c r="C35" s="19" t="s">
        <v>17</v>
      </c>
      <c r="D35" s="42" t="str">
        <f t="shared" si="2"/>
        <v>Stockholm University</v>
      </c>
      <c r="E35" s="42" t="str">
        <f t="shared" si="3"/>
        <v>Sweden</v>
      </c>
      <c r="F35" s="18" t="s">
        <v>402</v>
      </c>
      <c r="G35" s="78" t="s">
        <v>208</v>
      </c>
      <c r="H35" s="79">
        <v>2</v>
      </c>
      <c r="I35" s="18" t="s">
        <v>401</v>
      </c>
      <c r="J35" s="14" t="s">
        <v>151</v>
      </c>
      <c r="K35" s="79">
        <v>3</v>
      </c>
      <c r="L35" s="92" t="s">
        <v>347</v>
      </c>
      <c r="M35" s="93">
        <v>3000</v>
      </c>
      <c r="N35" s="37">
        <f>IF(AND(M35&gt;0,L35&lt;&gt;""),IF(M35&gt;(ROUND( (ROUND(ROUND(H35,0)*(VLOOKUP(J35,TravelCosts,2,FALSE)),2))/0.65,2)),ROUND(M35*0.8,2),"covered by unit cost"),0)</f>
        <v>2400</v>
      </c>
      <c r="O35" s="37">
        <f>IF(OR(AND(L35&lt;&gt;"",M35&gt;0,ISNUMBER(N35)),R35="Error"),0,ROUND(ROUND(H35,0)*(VLOOKUP(J35,TravelCosts,2,FALSE)),2))</f>
        <v>0</v>
      </c>
      <c r="P35" s="37">
        <f>IF(R35="Error",0,IF(AND(G35="Staff",K35&gt;0,K35&lt;15),(120*K35)*H35,IF(AND(G35="Staff",K35&gt;14,K35&lt;61),(1680+((K35-14)*70))*H35,IF(AND(G35="Staff",K35&gt;60,K35&lt;91),(4900+((K35-60)*50))*H35,IF(AND(G35="Student",K35&gt;0,K35&lt;15),(55*K35)*H35,IF(AND(G35="Student",K35&gt;14,K35&lt;91),(770+((K35-14)*40))*H35,0))))))</f>
        <v>720</v>
      </c>
      <c r="Q35" s="38">
        <f>IFERROR(N35+O35+P35,O35+P35)</f>
        <v>3120</v>
      </c>
      <c r="R35" s="91" t="str">
        <f>IF(OR(COUNTIF(WorkPackage,B35)=0,COUNTIF(PartnerN°,C35)=0,D35="",COUNTIF(CountryALL,E35)=0,F35="",COUNTIF(Category2,G35)=0,ISNUMBER(H35)=FALSE,H35&lt;=0,I35="",COUNTIF(TravelBands,J35)=0,ISNUMBER(K35)=FALSE,OR(K35&lt;0,K35&gt;90),IF(ISNUMBER(H35)=TRUE,H35=INT(H35*1)/1=FALSE),IF(ISNUMBER(K35)=TRUE,K35=INT(K35*1)/1=FALSE),AND(L35&lt;&gt;"",M35=0),AND(L35="",M35&gt;0),ISNUMBER(N35)=FALSE ),"Error","")</f>
        <v/>
      </c>
    </row>
    <row r="36" spans="2:18" s="34" customFormat="1" x14ac:dyDescent="0.3">
      <c r="B36" s="14" t="s">
        <v>172</v>
      </c>
      <c r="C36" s="19" t="s">
        <v>21</v>
      </c>
      <c r="D36" s="42" t="str">
        <f t="shared" si="2"/>
        <v>InterSoft Education</v>
      </c>
      <c r="E36" s="42" t="str">
        <f t="shared" si="3"/>
        <v>Bosnia and Herzegovina</v>
      </c>
      <c r="F36" s="18" t="s">
        <v>400</v>
      </c>
      <c r="G36" s="78" t="s">
        <v>208</v>
      </c>
      <c r="H36" s="79">
        <v>2</v>
      </c>
      <c r="I36" s="18" t="s">
        <v>403</v>
      </c>
      <c r="J36" s="14" t="s">
        <v>150</v>
      </c>
      <c r="K36" s="79">
        <v>3</v>
      </c>
      <c r="L36" s="92" t="s">
        <v>347</v>
      </c>
      <c r="M36" s="93">
        <v>3000</v>
      </c>
      <c r="N36" s="37">
        <f>IF(AND(M36&gt;0,L36&lt;&gt;""),IF(M36&gt;(ROUND( (ROUND(ROUND(H36,0)*(VLOOKUP(J36,TravelCosts,2,FALSE)),2))/0.65,2)),ROUND(M36*0.8,2),"covered by unit cost"),0)</f>
        <v>2400</v>
      </c>
      <c r="O36" s="37">
        <f>IF(OR(AND(L36&lt;&gt;"",M36&gt;0,ISNUMBER(N36)),R36="Error"),0,ROUND(ROUND(H36,0)*(VLOOKUP(J36,TravelCosts,2,FALSE)),2))</f>
        <v>0</v>
      </c>
      <c r="P36" s="37">
        <f>IF(R36="Error",0,IF(AND(G36="Staff",K36&gt;0,K36&lt;15),(120*K36)*H36,IF(AND(G36="Staff",K36&gt;14,K36&lt;61),(1680+((K36-14)*70))*H36,IF(AND(G36="Staff",K36&gt;60,K36&lt;91),(4900+((K36-60)*50))*H36,IF(AND(G36="Student",K36&gt;0,K36&lt;15),(55*K36)*H36,IF(AND(G36="Student",K36&gt;14,K36&lt;91),(770+((K36-14)*40))*H36,0))))))</f>
        <v>720</v>
      </c>
      <c r="Q36" s="38">
        <f>IFERROR(N36+O36+P36,O36+P36)</f>
        <v>3120</v>
      </c>
      <c r="R36" s="91" t="str">
        <f>IF(OR(COUNTIF(WorkPackage,B36)=0,COUNTIF(PartnerN°,C36)=0,D36="",COUNTIF(CountryALL,E36)=0,F36="",COUNTIF(Category2,G36)=0,ISNUMBER(H36)=FALSE,H36&lt;=0,I36="",COUNTIF(TravelBands,J36)=0,ISNUMBER(K36)=FALSE,OR(K36&lt;0,K36&gt;90),IF(ISNUMBER(H36)=TRUE,H36=INT(H36*1)/1=FALSE),IF(ISNUMBER(K36)=TRUE,K36=INT(K36*1)/1=FALSE),AND(L36&lt;&gt;"",M36=0),AND(L36="",M36&gt;0),ISNUMBER(N36)=FALSE ),"Error","")</f>
        <v/>
      </c>
    </row>
    <row r="37" spans="2:18" s="34" customFormat="1" x14ac:dyDescent="0.3">
      <c r="B37" s="14" t="s">
        <v>172</v>
      </c>
      <c r="C37" s="19" t="s">
        <v>12</v>
      </c>
      <c r="D37" s="42" t="str">
        <f t="shared" si="2"/>
        <v>Ministarstvo prosvete, nauke I tehnoloskog razvoja</v>
      </c>
      <c r="E37" s="42" t="str">
        <f t="shared" si="3"/>
        <v>Serbia</v>
      </c>
      <c r="F37" s="18" t="s">
        <v>391</v>
      </c>
      <c r="G37" s="78" t="s">
        <v>208</v>
      </c>
      <c r="H37" s="79">
        <v>2</v>
      </c>
      <c r="I37" s="18" t="s">
        <v>395</v>
      </c>
      <c r="J37" s="14" t="s">
        <v>150</v>
      </c>
      <c r="K37" s="79">
        <v>3</v>
      </c>
      <c r="L37" s="92" t="s">
        <v>347</v>
      </c>
      <c r="M37" s="93">
        <v>3000</v>
      </c>
      <c r="N37" s="37">
        <f>IF(AND(M37&gt;0,L37&lt;&gt;""),IF(M37&gt;(ROUND( (ROUND(ROUND(H37,0)*(VLOOKUP(J37,TravelCosts,2,FALSE)),2))/0.65,2)),ROUND(M37*0.8,2),"covered by unit cost"),0)</f>
        <v>2400</v>
      </c>
      <c r="O37" s="37">
        <f>IF(OR(AND(L37&lt;&gt;"",M37&gt;0,ISNUMBER(N37)),R37="Error"),0,ROUND(ROUND(H37,0)*(VLOOKUP(J37,TravelCosts,2,FALSE)),2))</f>
        <v>0</v>
      </c>
      <c r="P37" s="37">
        <f>IF(R37="Error",0,IF(AND(G37="Staff",K37&gt;0,K37&lt;15),(120*K37)*H37,IF(AND(G37="Staff",K37&gt;14,K37&lt;61),(1680+((K37-14)*70))*H37,IF(AND(G37="Staff",K37&gt;60,K37&lt;91),(4900+((K37-60)*50))*H37,IF(AND(G37="Student",K37&gt;0,K37&lt;15),(55*K37)*H37,IF(AND(G37="Student",K37&gt;14,K37&lt;91),(770+((K37-14)*40))*H37,0))))))</f>
        <v>720</v>
      </c>
      <c r="Q37" s="38">
        <f>IFERROR(N37+O37+P37,O37+P37)</f>
        <v>3120</v>
      </c>
      <c r="R37" s="91" t="str">
        <f>IF(OR(COUNTIF(WorkPackage,B37)=0,COUNTIF(PartnerN°,C37)=0,D37="",COUNTIF(CountryALL,E37)=0,F37="",COUNTIF(Category2,G37)=0,ISNUMBER(H37)=FALSE,H37&lt;=0,I37="",COUNTIF(TravelBands,J37)=0,ISNUMBER(K37)=FALSE,OR(K37&lt;0,K37&gt;90),IF(ISNUMBER(H37)=TRUE,H37=INT(H37*1)/1=FALSE),IF(ISNUMBER(K37)=TRUE,K37=INT(K37*1)/1=FALSE),AND(L37&lt;&gt;"",M37=0),AND(L37="",M37&gt;0),ISNUMBER(N37)=FALSE ),"Error","")</f>
        <v/>
      </c>
    </row>
    <row r="38" spans="2:18" s="34" customFormat="1" x14ac:dyDescent="0.3">
      <c r="B38" s="14" t="s">
        <v>172</v>
      </c>
      <c r="C38" s="19" t="s">
        <v>12</v>
      </c>
      <c r="D38" s="42" t="str">
        <f t="shared" si="2"/>
        <v>Ministarstvo prosvete, nauke I tehnoloskog razvoja</v>
      </c>
      <c r="E38" s="42" t="str">
        <f t="shared" si="3"/>
        <v>Serbia</v>
      </c>
      <c r="F38" s="18" t="s">
        <v>391</v>
      </c>
      <c r="G38" s="78" t="s">
        <v>208</v>
      </c>
      <c r="H38" s="79">
        <v>2</v>
      </c>
      <c r="I38" s="18" t="s">
        <v>400</v>
      </c>
      <c r="J38" s="14" t="s">
        <v>149</v>
      </c>
      <c r="K38" s="79">
        <v>14</v>
      </c>
      <c r="L38" s="92" t="s">
        <v>347</v>
      </c>
      <c r="M38" s="93">
        <v>3000</v>
      </c>
      <c r="N38" s="37">
        <f>IF(AND(M38&gt;0,L38&lt;&gt;""),IF(M38&gt;(ROUND( (ROUND(ROUND(H38,0)*(VLOOKUP(J38,TravelCosts,2,FALSE)),2))/0.65,2)),ROUND(M38*0.8,2),"covered by unit cost"),0)</f>
        <v>2400</v>
      </c>
      <c r="O38" s="37">
        <f>IF(OR(AND(L38&lt;&gt;"",M38&gt;0,ISNUMBER(N38)),R38="Error"),0,ROUND(ROUND(H38,0)*(VLOOKUP(J38,TravelCosts,2,FALSE)),2))</f>
        <v>0</v>
      </c>
      <c r="P38" s="37">
        <f>IF(R38="Error",0,IF(AND(G38="Staff",K38&gt;0,K38&lt;15),(120*K38)*H38,IF(AND(G38="Staff",K38&gt;14,K38&lt;61),(1680+((K38-14)*70))*H38,IF(AND(G38="Staff",K38&gt;60,K38&lt;91),(4900+((K38-60)*50))*H38,IF(AND(G38="Student",K38&gt;0,K38&lt;15),(55*K38)*H38,IF(AND(G38="Student",K38&gt;14,K38&lt;91),(770+((K38-14)*40))*H38,0))))))</f>
        <v>3360</v>
      </c>
      <c r="Q38" s="38">
        <f>IFERROR(N38+O38+P38,O38+P38)</f>
        <v>5760</v>
      </c>
      <c r="R38" s="91" t="str">
        <f>IF(OR(COUNTIF(WorkPackage,B38)=0,COUNTIF(PartnerN°,C38)=0,D38="",COUNTIF(CountryALL,E38)=0,F38="",COUNTIF(Category2,G38)=0,ISNUMBER(H38)=FALSE,H38&lt;=0,I38="",COUNTIF(TravelBands,J38)=0,ISNUMBER(K38)=FALSE,OR(K38&lt;0,K38&gt;90),IF(ISNUMBER(H38)=TRUE,H38=INT(H38*1)/1=FALSE),IF(ISNUMBER(K38)=TRUE,K38=INT(K38*1)/1=FALSE),AND(L38&lt;&gt;"",M38=0),AND(L38="",M38&gt;0),ISNUMBER(N38)=FALSE ),"Error","")</f>
        <v/>
      </c>
    </row>
    <row r="39" spans="2:18" s="34" customFormat="1" x14ac:dyDescent="0.3">
      <c r="B39" s="14" t="s">
        <v>172</v>
      </c>
      <c r="C39" s="19" t="s">
        <v>12</v>
      </c>
      <c r="D39" s="42" t="str">
        <f t="shared" si="2"/>
        <v>Ministarstvo prosvete, nauke I tehnoloskog razvoja</v>
      </c>
      <c r="E39" s="42" t="str">
        <f t="shared" si="3"/>
        <v>Serbia</v>
      </c>
      <c r="F39" s="18" t="s">
        <v>391</v>
      </c>
      <c r="G39" s="78" t="s">
        <v>208</v>
      </c>
      <c r="H39" s="79">
        <v>2</v>
      </c>
      <c r="I39" s="18" t="s">
        <v>401</v>
      </c>
      <c r="J39" s="14" t="s">
        <v>151</v>
      </c>
      <c r="K39" s="79">
        <v>14</v>
      </c>
      <c r="L39" s="92" t="s">
        <v>347</v>
      </c>
      <c r="M39" s="93">
        <v>3000</v>
      </c>
      <c r="N39" s="37">
        <f>IF(AND(M39&gt;0,L39&lt;&gt;""),IF(M39&gt;(ROUND( (ROUND(ROUND(H39,0)*(VLOOKUP(J39,TravelCosts,2,FALSE)),2))/0.65,2)),ROUND(M39*0.8,2),"covered by unit cost"),0)</f>
        <v>2400</v>
      </c>
      <c r="O39" s="37">
        <f>IF(OR(AND(L39&lt;&gt;"",M39&gt;0,ISNUMBER(N39)),R39="Error"),0,ROUND(ROUND(H39,0)*(VLOOKUP(J39,TravelCosts,2,FALSE)),2))</f>
        <v>0</v>
      </c>
      <c r="P39" s="37">
        <f>IF(R39="Error",0,IF(AND(G39="Staff",K39&gt;0,K39&lt;15),(120*K39)*H39,IF(AND(G39="Staff",K39&gt;14,K39&lt;61),(1680+((K39-14)*70))*H39,IF(AND(G39="Staff",K39&gt;60,K39&lt;91),(4900+((K39-60)*50))*H39,IF(AND(G39="Student",K39&gt;0,K39&lt;15),(55*K39)*H39,IF(AND(G39="Student",K39&gt;14,K39&lt;91),(770+((K39-14)*40))*H39,0))))))</f>
        <v>3360</v>
      </c>
      <c r="Q39" s="38">
        <f>IFERROR(N39+O39+P39,O39+P39)</f>
        <v>5760</v>
      </c>
      <c r="R39" s="91" t="str">
        <f>IF(OR(COUNTIF(WorkPackage,B39)=0,COUNTIF(PartnerN°,C39)=0,D39="",COUNTIF(CountryALL,E39)=0,F39="",COUNTIF(Category2,G39)=0,ISNUMBER(H39)=FALSE,H39&lt;=0,I39="",COUNTIF(TravelBands,J39)=0,ISNUMBER(K39)=FALSE,OR(K39&lt;0,K39&gt;90),IF(ISNUMBER(H39)=TRUE,H39=INT(H39*1)/1=FALSE),IF(ISNUMBER(K39)=TRUE,K39=INT(K39*1)/1=FALSE),AND(L39&lt;&gt;"",M39=0),AND(L39="",M39&gt;0),ISNUMBER(N39)=FALSE ),"Error","")</f>
        <v/>
      </c>
    </row>
    <row r="40" spans="2:18" s="34" customFormat="1" x14ac:dyDescent="0.3">
      <c r="B40" s="14" t="s">
        <v>172</v>
      </c>
      <c r="C40" s="19" t="s">
        <v>12</v>
      </c>
      <c r="D40" s="42" t="str">
        <f t="shared" si="2"/>
        <v>Ministarstvo prosvete, nauke I tehnoloskog razvoja</v>
      </c>
      <c r="E40" s="42" t="str">
        <f t="shared" si="3"/>
        <v>Serbia</v>
      </c>
      <c r="F40" s="18" t="s">
        <v>391</v>
      </c>
      <c r="G40" s="78" t="s">
        <v>208</v>
      </c>
      <c r="H40" s="79">
        <v>2</v>
      </c>
      <c r="I40" s="18" t="s">
        <v>396</v>
      </c>
      <c r="J40" s="14" t="s">
        <v>150</v>
      </c>
      <c r="K40" s="79">
        <v>28</v>
      </c>
      <c r="L40" s="92" t="s">
        <v>347</v>
      </c>
      <c r="M40" s="93">
        <v>3000</v>
      </c>
      <c r="N40" s="37">
        <f>IF(AND(M40&gt;0,L40&lt;&gt;""),IF(M40&gt;(ROUND( (ROUND(ROUND(H40,0)*(VLOOKUP(J40,TravelCosts,2,FALSE)),2))/0.65,2)),ROUND(M40*0.8,2),"covered by unit cost"),0)</f>
        <v>2400</v>
      </c>
      <c r="O40" s="37">
        <f>IF(OR(AND(L40&lt;&gt;"",M40&gt;0,ISNUMBER(N40)),R40="Error"),0,ROUND(ROUND(H40,0)*(VLOOKUP(J40,TravelCosts,2,FALSE)),2))</f>
        <v>0</v>
      </c>
      <c r="P40" s="37">
        <f>IF(R40="Error",0,IF(AND(G40="Staff",K40&gt;0,K40&lt;15),(120*K40)*H40,IF(AND(G40="Staff",K40&gt;14,K40&lt;61),(1680+((K40-14)*70))*H40,IF(AND(G40="Staff",K40&gt;60,K40&lt;91),(4900+((K40-60)*50))*H40,IF(AND(G40="Student",K40&gt;0,K40&lt;15),(55*K40)*H40,IF(AND(G40="Student",K40&gt;14,K40&lt;91),(770+((K40-14)*40))*H40,0))))))</f>
        <v>5320</v>
      </c>
      <c r="Q40" s="38">
        <f>IFERROR(N40+O40+P40,O40+P40)</f>
        <v>7720</v>
      </c>
      <c r="R40" s="91" t="str">
        <f>IF(OR(COUNTIF(WorkPackage,B40)=0,COUNTIF(PartnerN°,C40)=0,D40="",COUNTIF(CountryALL,E40)=0,F40="",COUNTIF(Category2,G40)=0,ISNUMBER(H40)=FALSE,H40&lt;=0,I40="",COUNTIF(TravelBands,J40)=0,ISNUMBER(K40)=FALSE,OR(K40&lt;0,K40&gt;90),IF(ISNUMBER(H40)=TRUE,H40=INT(H40*1)/1=FALSE),IF(ISNUMBER(K40)=TRUE,K40=INT(K40*1)/1=FALSE),AND(L40&lt;&gt;"",M40=0),AND(L40="",M40&gt;0),ISNUMBER(N40)=FALSE ),"Error","")</f>
        <v/>
      </c>
    </row>
    <row r="41" spans="2:18" s="34" customFormat="1" x14ac:dyDescent="0.3">
      <c r="B41" s="14" t="s">
        <v>172</v>
      </c>
      <c r="C41" s="19" t="s">
        <v>12</v>
      </c>
      <c r="D41" s="42" t="str">
        <f t="shared" si="2"/>
        <v>Ministarstvo prosvete, nauke I tehnoloskog razvoja</v>
      </c>
      <c r="E41" s="42" t="str">
        <f t="shared" si="3"/>
        <v>Serbia</v>
      </c>
      <c r="F41" s="18" t="s">
        <v>391</v>
      </c>
      <c r="G41" s="78" t="s">
        <v>208</v>
      </c>
      <c r="H41" s="79">
        <v>2</v>
      </c>
      <c r="I41" s="18" t="s">
        <v>392</v>
      </c>
      <c r="J41" s="14" t="s">
        <v>150</v>
      </c>
      <c r="K41" s="79">
        <v>28</v>
      </c>
      <c r="L41" s="92" t="s">
        <v>347</v>
      </c>
      <c r="M41" s="93">
        <v>3000</v>
      </c>
      <c r="N41" s="37">
        <f>IF(AND(M41&gt;0,L41&lt;&gt;""),IF(M41&gt;(ROUND( (ROUND(ROUND(H41,0)*(VLOOKUP(J41,TravelCosts,2,FALSE)),2))/0.65,2)),ROUND(M41*0.8,2),"covered by unit cost"),0)</f>
        <v>2400</v>
      </c>
      <c r="O41" s="37">
        <f>IF(OR(AND(L41&lt;&gt;"",M41&gt;0,ISNUMBER(N41)),R41="Error"),0,ROUND(ROUND(H41,0)*(VLOOKUP(J41,TravelCosts,2,FALSE)),2))</f>
        <v>0</v>
      </c>
      <c r="P41" s="37">
        <f>IF(R41="Error",0,IF(AND(G41="Staff",K41&gt;0,K41&lt;15),(120*K41)*H41,IF(AND(G41="Staff",K41&gt;14,K41&lt;61),(1680+((K41-14)*70))*H41,IF(AND(G41="Staff",K41&gt;60,K41&lt;91),(4900+((K41-60)*50))*H41,IF(AND(G41="Student",K41&gt;0,K41&lt;15),(55*K41)*H41,IF(AND(G41="Student",K41&gt;14,K41&lt;91),(770+((K41-14)*40))*H41,0))))))</f>
        <v>5320</v>
      </c>
      <c r="Q41" s="38">
        <f>IFERROR(N41+O41+P41,O41+P41)</f>
        <v>7720</v>
      </c>
      <c r="R41" s="91" t="str">
        <f>IF(OR(COUNTIF(WorkPackage,B41)=0,COUNTIF(PartnerN°,C41)=0,D41="",COUNTIF(CountryALL,E41)=0,F41="",COUNTIF(Category2,G41)=0,ISNUMBER(H41)=FALSE,H41&lt;=0,I41="",COUNTIF(TravelBands,J41)=0,ISNUMBER(K41)=FALSE,OR(K41&lt;0,K41&gt;90),IF(ISNUMBER(H41)=TRUE,H41=INT(H41*1)/1=FALSE),IF(ISNUMBER(K41)=TRUE,K41=INT(K41*1)/1=FALSE),AND(L41&lt;&gt;"",M41=0),AND(L41="",M41&gt;0),ISNUMBER(N41)=FALSE ),"Error","")</f>
        <v/>
      </c>
    </row>
    <row r="42" spans="2:18" s="34" customFormat="1" x14ac:dyDescent="0.3">
      <c r="B42" s="14" t="s">
        <v>172</v>
      </c>
      <c r="C42" s="19" t="s">
        <v>12</v>
      </c>
      <c r="D42" s="42" t="str">
        <f t="shared" si="2"/>
        <v>Ministarstvo prosvete, nauke I tehnoloskog razvoja</v>
      </c>
      <c r="E42" s="42" t="str">
        <f t="shared" si="3"/>
        <v>Serbia</v>
      </c>
      <c r="F42" s="18" t="s">
        <v>391</v>
      </c>
      <c r="G42" s="78" t="s">
        <v>210</v>
      </c>
      <c r="H42" s="79">
        <v>7</v>
      </c>
      <c r="I42" s="18" t="s">
        <v>405</v>
      </c>
      <c r="J42" s="14" t="s">
        <v>150</v>
      </c>
      <c r="K42" s="79">
        <v>28</v>
      </c>
      <c r="L42" s="92" t="s">
        <v>347</v>
      </c>
      <c r="M42" s="93">
        <v>3000</v>
      </c>
      <c r="N42" s="37">
        <f>IF(AND(M42&gt;0,L42&lt;&gt;""),IF(M42&gt;(ROUND( (ROUND(ROUND(H42,0)*(VLOOKUP(J42,TravelCosts,2,FALSE)),2))/0.65,2)),ROUND(M42*0.8,2),"covered by unit cost"),0)</f>
        <v>2400</v>
      </c>
      <c r="O42" s="37">
        <f>IF(OR(AND(L42&lt;&gt;"",M42&gt;0,ISNUMBER(N42)),R42="Error"),0,ROUND(ROUND(H42,0)*(VLOOKUP(J42,TravelCosts,2,FALSE)),2))</f>
        <v>0</v>
      </c>
      <c r="P42" s="37">
        <f>IF(R42="Error",0,IF(AND(G42="Staff",K42&gt;0,K42&lt;15),(120*K42)*H42,IF(AND(G42="Staff",K42&gt;14,K42&lt;61),(1680+((K42-14)*70))*H42,IF(AND(G42="Staff",K42&gt;60,K42&lt;91),(4900+((K42-60)*50))*H42,IF(AND(G42="Student",K42&gt;0,K42&lt;15),(55*K42)*H42,IF(AND(G42="Student",K42&gt;14,K42&lt;91),(770+((K42-14)*40))*H42,0))))))</f>
        <v>9310</v>
      </c>
      <c r="Q42" s="38">
        <f>IFERROR(N42+O42+P42,O42+P42)</f>
        <v>11710</v>
      </c>
      <c r="R42" s="91" t="str">
        <f>IF(OR(COUNTIF(WorkPackage,B42)=0,COUNTIF(PartnerN°,C42)=0,D42="",COUNTIF(CountryALL,E42)=0,F42="",COUNTIF(Category2,G42)=0,ISNUMBER(H42)=FALSE,H42&lt;=0,I42="",COUNTIF(TravelBands,J42)=0,ISNUMBER(K42)=FALSE,OR(K42&lt;0,K42&gt;90),IF(ISNUMBER(H42)=TRUE,H42=INT(H42*1)/1=FALSE),IF(ISNUMBER(K42)=TRUE,K42=INT(K42*1)/1=FALSE),AND(L42&lt;&gt;"",M42=0),AND(L42="",M42&gt;0),ISNUMBER(N42)=FALSE ),"Error","")</f>
        <v/>
      </c>
    </row>
    <row r="43" spans="2:18" s="34" customFormat="1" x14ac:dyDescent="0.3">
      <c r="B43" s="14" t="s">
        <v>172</v>
      </c>
      <c r="C43" s="19" t="s">
        <v>11</v>
      </c>
      <c r="D43" s="42" t="str">
        <f t="shared" si="2"/>
        <v>Drustvo za akedmski razvoj (DAR)</v>
      </c>
      <c r="E43" s="42" t="str">
        <f t="shared" si="3"/>
        <v>Serbia</v>
      </c>
      <c r="F43" s="18" t="s">
        <v>391</v>
      </c>
      <c r="G43" s="78" t="s">
        <v>210</v>
      </c>
      <c r="H43" s="79">
        <v>7</v>
      </c>
      <c r="I43" s="18" t="s">
        <v>405</v>
      </c>
      <c r="J43" s="14" t="s">
        <v>150</v>
      </c>
      <c r="K43" s="79">
        <v>28</v>
      </c>
      <c r="L43" s="92" t="s">
        <v>347</v>
      </c>
      <c r="M43" s="93">
        <v>3000</v>
      </c>
      <c r="N43" s="37">
        <f>IF(AND(M43&gt;0,L43&lt;&gt;""),IF(M43&gt;(ROUND( (ROUND(ROUND(H43,0)*(VLOOKUP(J43,TravelCosts,2,FALSE)),2))/0.65,2)),ROUND(M43*0.8,2),"covered by unit cost"),0)</f>
        <v>2400</v>
      </c>
      <c r="O43" s="37">
        <f>IF(OR(AND(L43&lt;&gt;"",M43&gt;0,ISNUMBER(N43)),R43="Error"),0,ROUND(ROUND(H43,0)*(VLOOKUP(J43,TravelCosts,2,FALSE)),2))</f>
        <v>0</v>
      </c>
      <c r="P43" s="37">
        <f>IF(R43="Error",0,IF(AND(G43="Staff",K43&gt;0,K43&lt;15),(120*K43)*H43,IF(AND(G43="Staff",K43&gt;14,K43&lt;61),(1680+((K43-14)*70))*H43,IF(AND(G43="Staff",K43&gt;60,K43&lt;91),(4900+((K43-60)*50))*H43,IF(AND(G43="Student",K43&gt;0,K43&lt;15),(55*K43)*H43,IF(AND(G43="Student",K43&gt;14,K43&lt;91),(770+((K43-14)*40))*H43,0))))))</f>
        <v>9310</v>
      </c>
      <c r="Q43" s="38">
        <f>IFERROR(N43+O43+P43,O43+P43)</f>
        <v>11710</v>
      </c>
      <c r="R43" s="91" t="str">
        <f>IF(OR(COUNTIF(WorkPackage,B43)=0,COUNTIF(PartnerN°,C43)=0,D43="",COUNTIF(CountryALL,E43)=0,F43="",COUNTIF(Category2,G43)=0,ISNUMBER(H43)=FALSE,H43&lt;=0,I43="",COUNTIF(TravelBands,J43)=0,ISNUMBER(K43)=FALSE,OR(K43&lt;0,K43&gt;90),IF(ISNUMBER(H43)=TRUE,H43=INT(H43*1)/1=FALSE),IF(ISNUMBER(K43)=TRUE,K43=INT(K43*1)/1=FALSE),AND(L43&lt;&gt;"",M43=0),AND(L43="",M43&gt;0),ISNUMBER(N43)=FALSE ),"Error","")</f>
        <v/>
      </c>
    </row>
    <row r="44" spans="2:18" s="34" customFormat="1" x14ac:dyDescent="0.3">
      <c r="B44" s="14" t="s">
        <v>172</v>
      </c>
      <c r="C44" s="19" t="s">
        <v>13</v>
      </c>
      <c r="D44" s="42" t="str">
        <f t="shared" si="2"/>
        <v>University of Helsinki</v>
      </c>
      <c r="E44" s="42" t="str">
        <f t="shared" si="3"/>
        <v>Finland</v>
      </c>
      <c r="F44" s="18" t="s">
        <v>396</v>
      </c>
      <c r="G44" s="78" t="s">
        <v>210</v>
      </c>
      <c r="H44" s="79">
        <v>7</v>
      </c>
      <c r="I44" s="18" t="s">
        <v>405</v>
      </c>
      <c r="J44" s="14" t="s">
        <v>150</v>
      </c>
      <c r="K44" s="79">
        <v>28</v>
      </c>
      <c r="L44" s="92" t="s">
        <v>347</v>
      </c>
      <c r="M44" s="93">
        <v>3000</v>
      </c>
      <c r="N44" s="37">
        <f>IF(AND(M44&gt;0,L44&lt;&gt;""),IF(M44&gt;(ROUND( (ROUND(ROUND(H44,0)*(VLOOKUP(J44,TravelCosts,2,FALSE)),2))/0.65,2)),ROUND(M44*0.8,2),"covered by unit cost"),0)</f>
        <v>2400</v>
      </c>
      <c r="O44" s="37">
        <f>IF(OR(AND(L44&lt;&gt;"",M44&gt;0,ISNUMBER(N44)),R44="Error"),0,ROUND(ROUND(H44,0)*(VLOOKUP(J44,TravelCosts,2,FALSE)),2))</f>
        <v>0</v>
      </c>
      <c r="P44" s="37">
        <f>IF(R44="Error",0,IF(AND(G44="Staff",K44&gt;0,K44&lt;15),(120*K44)*H44,IF(AND(G44="Staff",K44&gt;14,K44&lt;61),(1680+((K44-14)*70))*H44,IF(AND(G44="Staff",K44&gt;60,K44&lt;91),(4900+((K44-60)*50))*H44,IF(AND(G44="Student",K44&gt;0,K44&lt;15),(55*K44)*H44,IF(AND(G44="Student",K44&gt;14,K44&lt;91),(770+((K44-14)*40))*H44,0))))))</f>
        <v>9310</v>
      </c>
      <c r="Q44" s="38">
        <f>IFERROR(N44+O44+P44,O44+P44)</f>
        <v>11710</v>
      </c>
      <c r="R44" s="91" t="str">
        <f>IF(OR(COUNTIF(WorkPackage,B44)=0,COUNTIF(PartnerN°,C44)=0,D44="",COUNTIF(CountryALL,E44)=0,F44="",COUNTIF(Category2,G44)=0,ISNUMBER(H44)=FALSE,H44&lt;=0,I44="",COUNTIF(TravelBands,J44)=0,ISNUMBER(K44)=FALSE,OR(K44&lt;0,K44&gt;90),IF(ISNUMBER(H44)=TRUE,H44=INT(H44*1)/1=FALSE),IF(ISNUMBER(K44)=TRUE,K44=INT(K44*1)/1=FALSE),AND(L44&lt;&gt;"",M44=0),AND(L44="",M44&gt;0),ISNUMBER(N44)=FALSE ),"Error","")</f>
        <v/>
      </c>
    </row>
    <row r="45" spans="2:18" s="34" customFormat="1" x14ac:dyDescent="0.3">
      <c r="B45" s="14" t="s">
        <v>172</v>
      </c>
      <c r="C45" s="19" t="s">
        <v>13</v>
      </c>
      <c r="D45" s="42" t="str">
        <f t="shared" si="2"/>
        <v>University of Helsinki</v>
      </c>
      <c r="E45" s="42" t="str">
        <f t="shared" si="3"/>
        <v>Finland</v>
      </c>
      <c r="F45" s="18" t="s">
        <v>396</v>
      </c>
      <c r="G45" s="78" t="s">
        <v>210</v>
      </c>
      <c r="H45" s="79">
        <v>7</v>
      </c>
      <c r="I45" s="18" t="s">
        <v>405</v>
      </c>
      <c r="J45" s="14" t="s">
        <v>150</v>
      </c>
      <c r="K45" s="79">
        <v>28</v>
      </c>
      <c r="L45" s="92" t="s">
        <v>347</v>
      </c>
      <c r="M45" s="93">
        <v>3000</v>
      </c>
      <c r="N45" s="37">
        <f>IF(AND(M45&gt;0,L45&lt;&gt;""),IF(M45&gt;(ROUND( (ROUND(ROUND(H45,0)*(VLOOKUP(J45,TravelCosts,2,FALSE)),2))/0.65,2)),ROUND(M45*0.8,2),"covered by unit cost"),0)</f>
        <v>2400</v>
      </c>
      <c r="O45" s="37">
        <f>IF(OR(AND(L45&lt;&gt;"",M45&gt;0,ISNUMBER(N45)),R45="Error"),0,ROUND(ROUND(H45,0)*(VLOOKUP(J45,TravelCosts,2,FALSE)),2))</f>
        <v>0</v>
      </c>
      <c r="P45" s="37">
        <f>IF(R45="Error",0,IF(AND(G45="Staff",K45&gt;0,K45&lt;15),(120*K45)*H45,IF(AND(G45="Staff",K45&gt;14,K45&lt;61),(1680+((K45-14)*70))*H45,IF(AND(G45="Staff",K45&gt;60,K45&lt;91),(4900+((K45-60)*50))*H45,IF(AND(G45="Student",K45&gt;0,K45&lt;15),(55*K45)*H45,IF(AND(G45="Student",K45&gt;14,K45&lt;91),(770+((K45-14)*40))*H45,0))))))</f>
        <v>9310</v>
      </c>
      <c r="Q45" s="38">
        <f>IFERROR(N45+O45+P45,O45+P45)</f>
        <v>11710</v>
      </c>
      <c r="R45" s="91" t="str">
        <f>IF(OR(COUNTIF(WorkPackage,B45)=0,COUNTIF(PartnerN°,C45)=0,D45="",COUNTIF(CountryALL,E45)=0,F45="",COUNTIF(Category2,G45)=0,ISNUMBER(H45)=FALSE,H45&lt;=0,I45="",COUNTIF(TravelBands,J45)=0,ISNUMBER(K45)=FALSE,OR(K45&lt;0,K45&gt;90),IF(ISNUMBER(H45)=TRUE,H45=INT(H45*1)/1=FALSE),IF(ISNUMBER(K45)=TRUE,K45=INT(K45*1)/1=FALSE),AND(L45&lt;&gt;"",M45=0),AND(L45="",M45&gt;0),ISNUMBER(N45)=FALSE ),"Error","")</f>
        <v/>
      </c>
    </row>
    <row r="46" spans="2:18" s="34" customFormat="1" x14ac:dyDescent="0.3">
      <c r="B46" s="14" t="s">
        <v>172</v>
      </c>
      <c r="C46" s="19" t="s">
        <v>9</v>
      </c>
      <c r="D46" s="42" t="str">
        <f t="shared" si="2"/>
        <v>Univerzitet u Nisu</v>
      </c>
      <c r="E46" s="42" t="str">
        <f t="shared" si="3"/>
        <v>Serbia</v>
      </c>
      <c r="F46" s="18" t="s">
        <v>399</v>
      </c>
      <c r="G46" s="78" t="s">
        <v>210</v>
      </c>
      <c r="H46" s="79">
        <v>7</v>
      </c>
      <c r="I46" s="18" t="s">
        <v>405</v>
      </c>
      <c r="J46" s="14" t="s">
        <v>150</v>
      </c>
      <c r="K46" s="79">
        <v>28</v>
      </c>
      <c r="L46" s="92" t="s">
        <v>347</v>
      </c>
      <c r="M46" s="93">
        <v>3000</v>
      </c>
      <c r="N46" s="37">
        <f>IF(AND(M46&gt;0,L46&lt;&gt;""),IF(M46&gt;(ROUND( (ROUND(ROUND(H46,0)*(VLOOKUP(J46,TravelCosts,2,FALSE)),2))/0.65,2)),ROUND(M46*0.8,2),"covered by unit cost"),0)</f>
        <v>2400</v>
      </c>
      <c r="O46" s="37">
        <f>IF(OR(AND(L46&lt;&gt;"",M46&gt;0,ISNUMBER(N46)),R46="Error"),0,ROUND(ROUND(H46,0)*(VLOOKUP(J46,TravelCosts,2,FALSE)),2))</f>
        <v>0</v>
      </c>
      <c r="P46" s="37">
        <f>IF(R46="Error",0,IF(AND(G46="Staff",K46&gt;0,K46&lt;15),(120*K46)*H46,IF(AND(G46="Staff",K46&gt;14,K46&lt;61),(1680+((K46-14)*70))*H46,IF(AND(G46="Staff",K46&gt;60,K46&lt;91),(4900+((K46-60)*50))*H46,IF(AND(G46="Student",K46&gt;0,K46&lt;15),(55*K46)*H46,IF(AND(G46="Student",K46&gt;14,K46&lt;91),(770+((K46-14)*40))*H46,0))))))</f>
        <v>9310</v>
      </c>
      <c r="Q46" s="38">
        <f>IFERROR(N46+O46+P46,O46+P46)</f>
        <v>11710</v>
      </c>
      <c r="R46" s="91" t="str">
        <f>IF(OR(COUNTIF(WorkPackage,B46)=0,COUNTIF(PartnerN°,C46)=0,D46="",COUNTIF(CountryALL,E46)=0,F46="",COUNTIF(Category2,G46)=0,ISNUMBER(H46)=FALSE,H46&lt;=0,I46="",COUNTIF(TravelBands,J46)=0,ISNUMBER(K46)=FALSE,OR(K46&lt;0,K46&gt;90),IF(ISNUMBER(H46)=TRUE,H46=INT(H46*1)/1=FALSE),IF(ISNUMBER(K46)=TRUE,K46=INT(K46*1)/1=FALSE),AND(L46&lt;&gt;"",M46=0),AND(L46="",M46&gt;0),ISNUMBER(N46)=FALSE ),"Error","")</f>
        <v/>
      </c>
    </row>
    <row r="47" spans="2:18" s="34" customFormat="1" x14ac:dyDescent="0.3">
      <c r="B47" s="14" t="s">
        <v>172</v>
      </c>
      <c r="C47" s="19" t="s">
        <v>16</v>
      </c>
      <c r="D47" s="42" t="str">
        <f t="shared" si="2"/>
        <v>University of Vienna</v>
      </c>
      <c r="E47" s="42" t="str">
        <f t="shared" si="3"/>
        <v>Austria</v>
      </c>
      <c r="F47" s="18" t="s">
        <v>403</v>
      </c>
      <c r="G47" s="78" t="s">
        <v>210</v>
      </c>
      <c r="H47" s="79">
        <v>7</v>
      </c>
      <c r="I47" s="18" t="s">
        <v>405</v>
      </c>
      <c r="J47" s="14" t="s">
        <v>150</v>
      </c>
      <c r="K47" s="79">
        <v>28</v>
      </c>
      <c r="L47" s="92" t="s">
        <v>347</v>
      </c>
      <c r="M47" s="93">
        <v>3000</v>
      </c>
      <c r="N47" s="37">
        <f>IF(AND(M47&gt;0,L47&lt;&gt;""),IF(M47&gt;(ROUND( (ROUND(ROUND(H47,0)*(VLOOKUP(J47,TravelCosts,2,FALSE)),2))/0.65,2)),ROUND(M47*0.8,2),"covered by unit cost"),0)</f>
        <v>2400</v>
      </c>
      <c r="O47" s="37">
        <f>IF(OR(AND(L47&lt;&gt;"",M47&gt;0,ISNUMBER(N47)),R47="Error"),0,ROUND(ROUND(H47,0)*(VLOOKUP(J47,TravelCosts,2,FALSE)),2))</f>
        <v>0</v>
      </c>
      <c r="P47" s="37">
        <f>IF(R47="Error",0,IF(AND(G47="Staff",K47&gt;0,K47&lt;15),(120*K47)*H47,IF(AND(G47="Staff",K47&gt;14,K47&lt;61),(1680+((K47-14)*70))*H47,IF(AND(G47="Staff",K47&gt;60,K47&lt;91),(4900+((K47-60)*50))*H47,IF(AND(G47="Student",K47&gt;0,K47&lt;15),(55*K47)*H47,IF(AND(G47="Student",K47&gt;14,K47&lt;91),(770+((K47-14)*40))*H47,0))))))</f>
        <v>9310</v>
      </c>
      <c r="Q47" s="38">
        <f>IFERROR(N47+O47+P47,O47+P47)</f>
        <v>11710</v>
      </c>
      <c r="R47" s="91" t="str">
        <f>IF(OR(COUNTIF(WorkPackage,B47)=0,COUNTIF(PartnerN°,C47)=0,D47="",COUNTIF(CountryALL,E47)=0,F47="",COUNTIF(Category2,G47)=0,ISNUMBER(H47)=FALSE,H47&lt;=0,I47="",COUNTIF(TravelBands,J47)=0,ISNUMBER(K47)=FALSE,OR(K47&lt;0,K47&gt;90),IF(ISNUMBER(H47)=TRUE,H47=INT(H47*1)/1=FALSE),IF(ISNUMBER(K47)=TRUE,K47=INT(K47*1)/1=FALSE),AND(L47&lt;&gt;"",M47=0),AND(L47="",M47&gt;0),ISNUMBER(N47)=FALSE ),"Error","")</f>
        <v/>
      </c>
    </row>
    <row r="48" spans="2:18" s="34" customFormat="1" x14ac:dyDescent="0.3">
      <c r="B48" s="14" t="s">
        <v>172</v>
      </c>
      <c r="C48" s="19" t="s">
        <v>17</v>
      </c>
      <c r="D48" s="42" t="str">
        <f t="shared" si="2"/>
        <v>Stockholm University</v>
      </c>
      <c r="E48" s="42" t="str">
        <f t="shared" si="3"/>
        <v>Sweden</v>
      </c>
      <c r="F48" s="18" t="s">
        <v>402</v>
      </c>
      <c r="G48" s="78" t="s">
        <v>210</v>
      </c>
      <c r="H48" s="79">
        <v>7</v>
      </c>
      <c r="I48" s="18" t="s">
        <v>405</v>
      </c>
      <c r="J48" s="14" t="s">
        <v>150</v>
      </c>
      <c r="K48" s="79">
        <v>28</v>
      </c>
      <c r="L48" s="92" t="s">
        <v>347</v>
      </c>
      <c r="M48" s="93">
        <v>3000</v>
      </c>
      <c r="N48" s="37">
        <f>IF(AND(M48&gt;0,L48&lt;&gt;""),IF(M48&gt;(ROUND( (ROUND(ROUND(H48,0)*(VLOOKUP(J48,TravelCosts,2,FALSE)),2))/0.65,2)),ROUND(M48*0.8,2),"covered by unit cost"),0)</f>
        <v>2400</v>
      </c>
      <c r="O48" s="37">
        <f>IF(OR(AND(L48&lt;&gt;"",M48&gt;0,ISNUMBER(N48)),R48="Error"),0,ROUND(ROUND(H48,0)*(VLOOKUP(J48,TravelCosts,2,FALSE)),2))</f>
        <v>0</v>
      </c>
      <c r="P48" s="37">
        <f>IF(R48="Error",0,IF(AND(G48="Staff",K48&gt;0,K48&lt;15),(120*K48)*H48,IF(AND(G48="Staff",K48&gt;14,K48&lt;61),(1680+((K48-14)*70))*H48,IF(AND(G48="Staff",K48&gt;60,K48&lt;91),(4900+((K48-60)*50))*H48,IF(AND(G48="Student",K48&gt;0,K48&lt;15),(55*K48)*H48,IF(AND(G48="Student",K48&gt;14,K48&lt;91),(770+((K48-14)*40))*H48,0))))))</f>
        <v>9310</v>
      </c>
      <c r="Q48" s="38">
        <f>IFERROR(N48+O48+P48,O48+P48)</f>
        <v>11710</v>
      </c>
      <c r="R48" s="91" t="str">
        <f>IF(OR(COUNTIF(WorkPackage,B48)=0,COUNTIF(PartnerN°,C48)=0,D48="",COUNTIF(CountryALL,E48)=0,F48="",COUNTIF(Category2,G48)=0,ISNUMBER(H48)=FALSE,H48&lt;=0,I48="",COUNTIF(TravelBands,J48)=0,ISNUMBER(K48)=FALSE,OR(K48&lt;0,K48&gt;90),IF(ISNUMBER(H48)=TRUE,H48=INT(H48*1)/1=FALSE),IF(ISNUMBER(K48)=TRUE,K48=INT(K48*1)/1=FALSE),AND(L48&lt;&gt;"",M48=0),AND(L48="",M48&gt;0),ISNUMBER(N48)=FALSE ),"Error","")</f>
        <v/>
      </c>
    </row>
    <row r="49" spans="2:18" s="34" customFormat="1" x14ac:dyDescent="0.3">
      <c r="B49" s="14" t="s">
        <v>172</v>
      </c>
      <c r="C49" s="19" t="s">
        <v>18</v>
      </c>
      <c r="D49" s="42" t="str">
        <f t="shared" si="2"/>
        <v>IMEC</v>
      </c>
      <c r="E49" s="42" t="str">
        <f t="shared" si="3"/>
        <v>Belgium</v>
      </c>
      <c r="F49" s="18" t="s">
        <v>397</v>
      </c>
      <c r="G49" s="78" t="s">
        <v>210</v>
      </c>
      <c r="H49" s="79">
        <v>7</v>
      </c>
      <c r="I49" s="18" t="s">
        <v>405</v>
      </c>
      <c r="J49" s="14" t="s">
        <v>150</v>
      </c>
      <c r="K49" s="79">
        <v>28</v>
      </c>
      <c r="L49" s="92" t="s">
        <v>347</v>
      </c>
      <c r="M49" s="93">
        <v>3000</v>
      </c>
      <c r="N49" s="37">
        <f>IF(AND(M49&gt;0,L49&lt;&gt;""),IF(M49&gt;(ROUND( (ROUND(ROUND(H49,0)*(VLOOKUP(J49,TravelCosts,2,FALSE)),2))/0.65,2)),ROUND(M49*0.8,2),"covered by unit cost"),0)</f>
        <v>2400</v>
      </c>
      <c r="O49" s="37">
        <f>IF(OR(AND(L49&lt;&gt;"",M49&gt;0,ISNUMBER(N49)),R49="Error"),0,ROUND(ROUND(H49,0)*(VLOOKUP(J49,TravelCosts,2,FALSE)),2))</f>
        <v>0</v>
      </c>
      <c r="P49" s="37">
        <f>IF(R49="Error",0,IF(AND(G49="Staff",K49&gt;0,K49&lt;15),(120*K49)*H49,IF(AND(G49="Staff",K49&gt;14,K49&lt;61),(1680+((K49-14)*70))*H49,IF(AND(G49="Staff",K49&gt;60,K49&lt;91),(4900+((K49-60)*50))*H49,IF(AND(G49="Student",K49&gt;0,K49&lt;15),(55*K49)*H49,IF(AND(G49="Student",K49&gt;14,K49&lt;91),(770+((K49-14)*40))*H49,0))))))</f>
        <v>9310</v>
      </c>
      <c r="Q49" s="38">
        <f>IFERROR(N49+O49+P49,O49+P49)</f>
        <v>11710</v>
      </c>
      <c r="R49" s="91" t="str">
        <f>IF(OR(COUNTIF(WorkPackage,B49)=0,COUNTIF(PartnerN°,C49)=0,D49="",COUNTIF(CountryALL,E49)=0,F49="",COUNTIF(Category2,G49)=0,ISNUMBER(H49)=FALSE,H49&lt;=0,I49="",COUNTIF(TravelBands,J49)=0,ISNUMBER(K49)=FALSE,OR(K49&lt;0,K49&gt;90),IF(ISNUMBER(H49)=TRUE,H49=INT(H49*1)/1=FALSE),IF(ISNUMBER(K49)=TRUE,K49=INT(K49*1)/1=FALSE),AND(L49&lt;&gt;"",M49=0),AND(L49="",M49&gt;0),ISNUMBER(N49)=FALSE ),"Error","")</f>
        <v/>
      </c>
    </row>
    <row r="50" spans="2:18" s="34" customFormat="1" x14ac:dyDescent="0.3">
      <c r="B50" s="14" t="s">
        <v>172</v>
      </c>
      <c r="C50" s="19" t="s">
        <v>19</v>
      </c>
      <c r="D50" s="42" t="str">
        <f t="shared" si="2"/>
        <v>EdukaMont</v>
      </c>
      <c r="E50" s="42" t="str">
        <f t="shared" si="3"/>
        <v>Montenegro</v>
      </c>
      <c r="F50" s="18" t="s">
        <v>394</v>
      </c>
      <c r="G50" s="78" t="s">
        <v>210</v>
      </c>
      <c r="H50" s="79">
        <v>7</v>
      </c>
      <c r="I50" s="18" t="s">
        <v>405</v>
      </c>
      <c r="J50" s="14" t="s">
        <v>149</v>
      </c>
      <c r="K50" s="79">
        <v>28</v>
      </c>
      <c r="L50" s="92" t="s">
        <v>347</v>
      </c>
      <c r="M50" s="93">
        <v>3000</v>
      </c>
      <c r="N50" s="37">
        <f>IF(AND(M50&gt;0,L50&lt;&gt;""),IF(M50&gt;(ROUND( (ROUND(ROUND(H50,0)*(VLOOKUP(J50,TravelCosts,2,FALSE)),2))/0.65,2)),ROUND(M50*0.8,2),"covered by unit cost"),0)</f>
        <v>2400</v>
      </c>
      <c r="O50" s="37">
        <f>IF(OR(AND(L50&lt;&gt;"",M50&gt;0,ISNUMBER(N50)),R50="Error"),0,ROUND(ROUND(H50,0)*(VLOOKUP(J50,TravelCosts,2,FALSE)),2))</f>
        <v>0</v>
      </c>
      <c r="P50" s="37">
        <f>IF(R50="Error",0,IF(AND(G50="Staff",K50&gt;0,K50&lt;15),(120*K50)*H50,IF(AND(G50="Staff",K50&gt;14,K50&lt;61),(1680+((K50-14)*70))*H50,IF(AND(G50="Staff",K50&gt;60,K50&lt;91),(4900+((K50-60)*50))*H50,IF(AND(G50="Student",K50&gt;0,K50&lt;15),(55*K50)*H50,IF(AND(G50="Student",K50&gt;14,K50&lt;91),(770+((K50-14)*40))*H50,0))))))</f>
        <v>9310</v>
      </c>
      <c r="Q50" s="38">
        <f>IFERROR(N50+O50+P50,O50+P50)</f>
        <v>11710</v>
      </c>
      <c r="R50" s="91" t="str">
        <f>IF(OR(COUNTIF(WorkPackage,B50)=0,COUNTIF(PartnerN°,C50)=0,D50="",COUNTIF(CountryALL,E50)=0,F50="",COUNTIF(Category2,G50)=0,ISNUMBER(H50)=FALSE,H50&lt;=0,I50="",COUNTIF(TravelBands,J50)=0,ISNUMBER(K50)=FALSE,OR(K50&lt;0,K50&gt;90),IF(ISNUMBER(H50)=TRUE,H50=INT(H50*1)/1=FALSE),IF(ISNUMBER(K50)=TRUE,K50=INT(K50*1)/1=FALSE),AND(L50&lt;&gt;"",M50=0),AND(L50="",M50&gt;0),ISNUMBER(N50)=FALSE ),"Error","")</f>
        <v/>
      </c>
    </row>
    <row r="51" spans="2:18" s="34" customFormat="1" x14ac:dyDescent="0.3">
      <c r="B51" s="14" t="s">
        <v>172</v>
      </c>
      <c r="C51" s="19" t="s">
        <v>156</v>
      </c>
      <c r="D51" s="42" t="str">
        <f t="shared" si="2"/>
        <v>Enterprise Ireland</v>
      </c>
      <c r="E51" s="42" t="str">
        <f t="shared" si="3"/>
        <v>Ireland</v>
      </c>
      <c r="F51" s="18" t="s">
        <v>395</v>
      </c>
      <c r="G51" s="78" t="s">
        <v>210</v>
      </c>
      <c r="H51" s="79">
        <v>7</v>
      </c>
      <c r="I51" s="18" t="s">
        <v>405</v>
      </c>
      <c r="J51" s="14" t="s">
        <v>150</v>
      </c>
      <c r="K51" s="79">
        <v>28</v>
      </c>
      <c r="L51" s="92" t="s">
        <v>347</v>
      </c>
      <c r="M51" s="93">
        <v>3000</v>
      </c>
      <c r="N51" s="37">
        <f>IF(AND(M51&gt;0,L51&lt;&gt;""),IF(M51&gt;(ROUND( (ROUND(ROUND(H51,0)*(VLOOKUP(J51,TravelCosts,2,FALSE)),2))/0.65,2)),ROUND(M51*0.8,2),"covered by unit cost"),0)</f>
        <v>2400</v>
      </c>
      <c r="O51" s="37">
        <f>IF(OR(AND(L51&lt;&gt;"",M51&gt;0,ISNUMBER(N51)),R51="Error"),0,ROUND(ROUND(H51,0)*(VLOOKUP(J51,TravelCosts,2,FALSE)),2))</f>
        <v>0</v>
      </c>
      <c r="P51" s="37">
        <f>IF(R51="Error",0,IF(AND(G51="Staff",K51&gt;0,K51&lt;15),(120*K51)*H51,IF(AND(G51="Staff",K51&gt;14,K51&lt;61),(1680+((K51-14)*70))*H51,IF(AND(G51="Staff",K51&gt;60,K51&lt;91),(4900+((K51-60)*50))*H51,IF(AND(G51="Student",K51&gt;0,K51&lt;15),(55*K51)*H51,IF(AND(G51="Student",K51&gt;14,K51&lt;91),(770+((K51-14)*40))*H51,0))))))</f>
        <v>9310</v>
      </c>
      <c r="Q51" s="38">
        <f>IFERROR(N51+O51+P51,O51+P51)</f>
        <v>11710</v>
      </c>
      <c r="R51" s="91" t="str">
        <f>IF(OR(COUNTIF(WorkPackage,B51)=0,COUNTIF(PartnerN°,C51)=0,D51="",COUNTIF(CountryALL,E51)=0,F51="",COUNTIF(Category2,G51)=0,ISNUMBER(H51)=FALSE,H51&lt;=0,I51="",COUNTIF(TravelBands,J51)=0,ISNUMBER(K51)=FALSE,OR(K51&lt;0,K51&gt;90),IF(ISNUMBER(H51)=TRUE,H51=INT(H51*1)/1=FALSE),IF(ISNUMBER(K51)=TRUE,K51=INT(K51*1)/1=FALSE),AND(L51&lt;&gt;"",M51=0),AND(L51="",M51&gt;0),ISNUMBER(N51)=FALSE ),"Error","")</f>
        <v/>
      </c>
    </row>
    <row r="52" spans="2:18" s="34" customFormat="1" x14ac:dyDescent="0.3">
      <c r="B52" s="14" t="s">
        <v>172</v>
      </c>
      <c r="C52" s="19" t="s">
        <v>20</v>
      </c>
      <c r="D52" s="42" t="str">
        <f t="shared" si="2"/>
        <v>Uniwersytet Warszawski</v>
      </c>
      <c r="E52" s="42" t="str">
        <f t="shared" si="3"/>
        <v>Poland</v>
      </c>
      <c r="F52" s="18" t="s">
        <v>404</v>
      </c>
      <c r="G52" s="78" t="s">
        <v>210</v>
      </c>
      <c r="H52" s="79">
        <v>7</v>
      </c>
      <c r="I52" s="18" t="s">
        <v>405</v>
      </c>
      <c r="J52" s="14" t="s">
        <v>150</v>
      </c>
      <c r="K52" s="79">
        <v>28</v>
      </c>
      <c r="L52" s="92" t="s">
        <v>347</v>
      </c>
      <c r="M52" s="93">
        <v>3000</v>
      </c>
      <c r="N52" s="37">
        <f>IF(AND(M52&gt;0,L52&lt;&gt;""),IF(M52&gt;(ROUND( (ROUND(ROUND(H52,0)*(VLOOKUP(J52,TravelCosts,2,FALSE)),2))/0.65,2)),ROUND(M52*0.8,2),"covered by unit cost"),0)</f>
        <v>2400</v>
      </c>
      <c r="O52" s="37">
        <f>IF(OR(AND(L52&lt;&gt;"",M52&gt;0,ISNUMBER(N52)),R52="Error"),0,ROUND(ROUND(H52,0)*(VLOOKUP(J52,TravelCosts,2,FALSE)),2))</f>
        <v>0</v>
      </c>
      <c r="P52" s="37">
        <f>IF(R52="Error",0,IF(AND(G52="Staff",K52&gt;0,K52&lt;15),(120*K52)*H52,IF(AND(G52="Staff",K52&gt;14,K52&lt;61),(1680+((K52-14)*70))*H52,IF(AND(G52="Staff",K52&gt;60,K52&lt;91),(4900+((K52-60)*50))*H52,IF(AND(G52="Student",K52&gt;0,K52&lt;15),(55*K52)*H52,IF(AND(G52="Student",K52&gt;14,K52&lt;91),(770+((K52-14)*40))*H52,0))))))</f>
        <v>9310</v>
      </c>
      <c r="Q52" s="38">
        <f>IFERROR(N52+O52+P52,O52+P52)</f>
        <v>11710</v>
      </c>
      <c r="R52" s="91" t="str">
        <f>IF(OR(COUNTIF(WorkPackage,B52)=0,COUNTIF(PartnerN°,C52)=0,D52="",COUNTIF(CountryALL,E52)=0,F52="",COUNTIF(Category2,G52)=0,ISNUMBER(H52)=FALSE,H52&lt;=0,I52="",COUNTIF(TravelBands,J52)=0,ISNUMBER(K52)=FALSE,OR(K52&lt;0,K52&gt;90),IF(ISNUMBER(H52)=TRUE,H52=INT(H52*1)/1=FALSE),IF(ISNUMBER(K52)=TRUE,K52=INT(K52*1)/1=FALSE),AND(L52&lt;&gt;"",M52=0),AND(L52="",M52&gt;0),ISNUMBER(N52)=FALSE ),"Error","")</f>
        <v/>
      </c>
    </row>
    <row r="53" spans="2:18" s="34" customFormat="1" x14ac:dyDescent="0.3">
      <c r="B53" s="14" t="s">
        <v>172</v>
      </c>
      <c r="C53" s="19" t="s">
        <v>21</v>
      </c>
      <c r="D53" s="42" t="str">
        <f t="shared" si="2"/>
        <v>InterSoft Education</v>
      </c>
      <c r="E53" s="42" t="str">
        <f t="shared" si="3"/>
        <v>Bosnia and Herzegovina</v>
      </c>
      <c r="F53" s="18" t="s">
        <v>400</v>
      </c>
      <c r="G53" s="78" t="s">
        <v>210</v>
      </c>
      <c r="H53" s="79">
        <v>7</v>
      </c>
      <c r="I53" s="18" t="s">
        <v>405</v>
      </c>
      <c r="J53" s="14" t="s">
        <v>149</v>
      </c>
      <c r="K53" s="79">
        <v>28</v>
      </c>
      <c r="L53" s="92" t="s">
        <v>347</v>
      </c>
      <c r="M53" s="93">
        <v>3000</v>
      </c>
      <c r="N53" s="37">
        <f>IF(AND(M53&gt;0,L53&lt;&gt;""),IF(M53&gt;(ROUND( (ROUND(ROUND(H53,0)*(VLOOKUP(J53,TravelCosts,2,FALSE)),2))/0.65,2)),ROUND(M53*0.8,2),"covered by unit cost"),0)</f>
        <v>2400</v>
      </c>
      <c r="O53" s="37">
        <f>IF(OR(AND(L53&lt;&gt;"",M53&gt;0,ISNUMBER(N53)),R53="Error"),0,ROUND(ROUND(H53,0)*(VLOOKUP(J53,TravelCosts,2,FALSE)),2))</f>
        <v>0</v>
      </c>
      <c r="P53" s="37">
        <f>IF(R53="Error",0,IF(AND(G53="Staff",K53&gt;0,K53&lt;15),(120*K53)*H53,IF(AND(G53="Staff",K53&gt;14,K53&lt;61),(1680+((K53-14)*70))*H53,IF(AND(G53="Staff",K53&gt;60,K53&lt;91),(4900+((K53-60)*50))*H53,IF(AND(G53="Student",K53&gt;0,K53&lt;15),(55*K53)*H53,IF(AND(G53="Student",K53&gt;14,K53&lt;91),(770+((K53-14)*40))*H53,0))))))</f>
        <v>9310</v>
      </c>
      <c r="Q53" s="38">
        <f>IFERROR(N53+O53+P53,O53+P53)</f>
        <v>11710</v>
      </c>
      <c r="R53" s="91" t="str">
        <f>IF(OR(COUNTIF(WorkPackage,B53)=0,COUNTIF(PartnerN°,C53)=0,D53="",COUNTIF(CountryALL,E53)=0,F53="",COUNTIF(Category2,G53)=0,ISNUMBER(H53)=FALSE,H53&lt;=0,I53="",COUNTIF(TravelBands,J53)=0,ISNUMBER(K53)=FALSE,OR(K53&lt;0,K53&gt;90),IF(ISNUMBER(H53)=TRUE,H53=INT(H53*1)/1=FALSE),IF(ISNUMBER(K53)=TRUE,K53=INT(K53*1)/1=FALSE),AND(L53&lt;&gt;"",M53=0),AND(L53="",M53&gt;0),ISNUMBER(N53)=FALSE ),"Error","")</f>
        <v/>
      </c>
    </row>
    <row r="54" spans="2:18" s="34" customFormat="1" x14ac:dyDescent="0.3">
      <c r="B54" s="14" t="s">
        <v>318</v>
      </c>
      <c r="C54" s="19" t="s">
        <v>14</v>
      </c>
      <c r="D54" s="42" t="str">
        <f t="shared" si="2"/>
        <v>Radboud University</v>
      </c>
      <c r="E54" s="42" t="str">
        <f t="shared" si="3"/>
        <v>Netherlands</v>
      </c>
      <c r="F54" s="18" t="s">
        <v>392</v>
      </c>
      <c r="G54" s="78" t="s">
        <v>208</v>
      </c>
      <c r="H54" s="79">
        <v>15</v>
      </c>
      <c r="I54" s="18" t="s">
        <v>405</v>
      </c>
      <c r="J54" s="14" t="s">
        <v>150</v>
      </c>
      <c r="K54" s="79">
        <v>30</v>
      </c>
      <c r="L54" s="92"/>
      <c r="M54" s="93"/>
      <c r="N54" s="37">
        <f>IF(AND(M54&gt;0,L54&lt;&gt;""),IF(M54&gt;(ROUND( (ROUND(ROUND(H54,0)*(VLOOKUP(J54,TravelCosts,2,FALSE)),2))/0.65,2)),ROUND(M54*0.8,2),"covered by unit cost"),0)</f>
        <v>0</v>
      </c>
      <c r="O54" s="37">
        <f>IF(OR(AND(L54&lt;&gt;"",M54&gt;0,ISNUMBER(N54)),R54="Error"),0,ROUND(ROUND(H54,0)*(VLOOKUP(J54,TravelCosts,2,FALSE)),2))</f>
        <v>4125</v>
      </c>
      <c r="P54" s="37">
        <f>IF(R54="Error",0,IF(AND(G54="Staff",K54&gt;0,K54&lt;15),(120*K54)*H54,IF(AND(G54="Staff",K54&gt;14,K54&lt;61),(1680+((K54-14)*70))*H54,IF(AND(G54="Staff",K54&gt;60,K54&lt;91),(4900+((K54-60)*50))*H54,IF(AND(G54="Student",K54&gt;0,K54&lt;15),(55*K54)*H54,IF(AND(G54="Student",K54&gt;14,K54&lt;91),(770+((K54-14)*40))*H54,0))))))</f>
        <v>42000</v>
      </c>
      <c r="Q54" s="38">
        <f>IFERROR(N54+O54+P54,O54+P54)</f>
        <v>46125</v>
      </c>
      <c r="R54" s="91" t="str">
        <f>IF(OR(COUNTIF(WorkPackage,B54)=0,COUNTIF(PartnerN°,C54)=0,D54="",COUNTIF(CountryALL,E54)=0,F54="",COUNTIF(Category2,G54)=0,ISNUMBER(H54)=FALSE,H54&lt;=0,I54="",COUNTIF(TravelBands,J54)=0,ISNUMBER(K54)=FALSE,OR(K54&lt;0,K54&gt;90),IF(ISNUMBER(H54)=TRUE,H54=INT(H54*1)/1=FALSE),IF(ISNUMBER(K54)=TRUE,K54=INT(K54*1)/1=FALSE),AND(L54&lt;&gt;"",M54=0),AND(L54="",M54&gt;0),ISNUMBER(N54)=FALSE ),"Error","")</f>
        <v/>
      </c>
    </row>
    <row r="55" spans="2:18" s="34" customFormat="1" x14ac:dyDescent="0.3">
      <c r="B55" s="14" t="s">
        <v>174</v>
      </c>
      <c r="C55" s="19" t="s">
        <v>15</v>
      </c>
      <c r="D55" s="42" t="str">
        <f t="shared" si="2"/>
        <v>Universidad de Salamanca</v>
      </c>
      <c r="E55" s="42" t="str">
        <f t="shared" si="3"/>
        <v>Spain</v>
      </c>
      <c r="F55" s="18" t="s">
        <v>401</v>
      </c>
      <c r="G55" s="78" t="s">
        <v>208</v>
      </c>
      <c r="H55" s="79">
        <v>15</v>
      </c>
      <c r="I55" s="18" t="s">
        <v>405</v>
      </c>
      <c r="J55" s="14" t="s">
        <v>151</v>
      </c>
      <c r="K55" s="79">
        <v>30</v>
      </c>
      <c r="L55" s="92"/>
      <c r="M55" s="93"/>
      <c r="N55" s="37">
        <f>IF(AND(M55&gt;0,L55&lt;&gt;""),IF(M55&gt;(ROUND( (ROUND(ROUND(H55,0)*(VLOOKUP(J55,TravelCosts,2,FALSE)),2))/0.65,2)),ROUND(M55*0.8,2),"covered by unit cost"),0)</f>
        <v>0</v>
      </c>
      <c r="O55" s="37">
        <f>IF(OR(AND(L55&lt;&gt;"",M55&gt;0,ISNUMBER(N55)),R55="Error"),0,ROUND(ROUND(H55,0)*(VLOOKUP(J55,TravelCosts,2,FALSE)),2))</f>
        <v>5400</v>
      </c>
      <c r="P55" s="37">
        <f>IF(R55="Error",0,IF(AND(G55="Staff",K55&gt;0,K55&lt;15),(120*K55)*H55,IF(AND(G55="Staff",K55&gt;14,K55&lt;61),(1680+((K55-14)*70))*H55,IF(AND(G55="Staff",K55&gt;60,K55&lt;91),(4900+((K55-60)*50))*H55,IF(AND(G55="Student",K55&gt;0,K55&lt;15),(55*K55)*H55,IF(AND(G55="Student",K55&gt;14,K55&lt;91),(770+((K55-14)*40))*H55,0))))))</f>
        <v>42000</v>
      </c>
      <c r="Q55" s="38">
        <f>IFERROR(N55+O55+P55,O55+P55)</f>
        <v>47400</v>
      </c>
      <c r="R55" s="91" t="str">
        <f>IF(OR(COUNTIF(WorkPackage,B55)=0,COUNTIF(PartnerN°,C55)=0,D55="",COUNTIF(CountryALL,E55)=0,F55="",COUNTIF(Category2,G55)=0,ISNUMBER(H55)=FALSE,H55&lt;=0,I55="",COUNTIF(TravelBands,J55)=0,ISNUMBER(K55)=FALSE,OR(K55&lt;0,K55&gt;90),IF(ISNUMBER(H55)=TRUE,H55=INT(H55*1)/1=FALSE),IF(ISNUMBER(K55)=TRUE,K55=INT(K55*1)/1=FALSE),AND(L55&lt;&gt;"",M55=0),AND(L55="",M55&gt;0),ISNUMBER(N55)=FALSE ),"Error","")</f>
        <v/>
      </c>
    </row>
    <row r="57" spans="2:18" x14ac:dyDescent="0.35">
      <c r="M57" s="96"/>
    </row>
    <row r="59" spans="2:18" x14ac:dyDescent="0.35">
      <c r="L59" s="95"/>
      <c r="M59" s="95"/>
    </row>
    <row r="60" spans="2:18" x14ac:dyDescent="0.35">
      <c r="M60" s="95"/>
      <c r="N60" s="95"/>
      <c r="O60" s="95"/>
    </row>
  </sheetData>
  <sheetProtection algorithmName="SHA-512" hashValue="WfNKG3X3EgfdmDDIWQ8mHIPlSA3D7SMufaUHvp9/z7BdWqvvPUHWiNiBAViuPw2ok1zq9cBZGyfEZE2Gq9ucGQ==" saltValue="Tj4fOwt527/meLLpJYOG7g==" spinCount="10000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539" priority="1912" operator="containsText" text="Error">
      <formula>NOT(ISERROR(SEARCH("Error",R14)))</formula>
    </cfRule>
  </conditionalFormatting>
  <conditionalFormatting sqref="D13:E55">
    <cfRule type="containsBlanks" dxfId="538" priority="1910">
      <formula>LEN(TRIM(D13))=0</formula>
    </cfRule>
  </conditionalFormatting>
  <conditionalFormatting sqref="O4:Q4">
    <cfRule type="cellIs" dxfId="537" priority="1658" operator="equal">
      <formula>"EXCEEDING 80% OF TOTAL TRAVEL COSTS"</formula>
    </cfRule>
  </conditionalFormatting>
  <conditionalFormatting sqref="H13 K13">
    <cfRule type="expression" dxfId="536" priority="1650">
      <formula>ISNUMBER(H13)=FALSE</formula>
    </cfRule>
  </conditionalFormatting>
  <conditionalFormatting sqref="F13:K13">
    <cfRule type="containsBlanks" dxfId="535" priority="575">
      <formula>LEN(TRIM(F13))=0</formula>
    </cfRule>
  </conditionalFormatting>
  <conditionalFormatting sqref="B13:C13">
    <cfRule type="containsBlanks" dxfId="534" priority="1642">
      <formula>LEN(TRIM(B13))=0</formula>
    </cfRule>
  </conditionalFormatting>
  <conditionalFormatting sqref="B14:C14">
    <cfRule type="containsBlanks" dxfId="533" priority="1641">
      <formula>LEN(TRIM(B14))=0</formula>
    </cfRule>
  </conditionalFormatting>
  <conditionalFormatting sqref="K13">
    <cfRule type="cellIs" dxfId="532" priority="570" operator="lessThan">
      <formula>0</formula>
    </cfRule>
    <cfRule type="cellIs" dxfId="531" priority="1655" operator="equal">
      <formula>0</formula>
    </cfRule>
  </conditionalFormatting>
  <conditionalFormatting sqref="H13">
    <cfRule type="cellIs" dxfId="530" priority="1646" operator="lessThanOrEqual">
      <formula>0</formula>
    </cfRule>
  </conditionalFormatting>
  <conditionalFormatting sqref="H14 K14">
    <cfRule type="expression" dxfId="529" priority="568">
      <formula>ISNUMBER(H14)=FALSE</formula>
    </cfRule>
  </conditionalFormatting>
  <conditionalFormatting sqref="F14:K14">
    <cfRule type="containsBlanks" dxfId="528" priority="566">
      <formula>LEN(TRIM(F14))=0</formula>
    </cfRule>
  </conditionalFormatting>
  <conditionalFormatting sqref="K14">
    <cfRule type="cellIs" dxfId="527" priority="565" operator="lessThan">
      <formula>0</formula>
    </cfRule>
    <cfRule type="cellIs" dxfId="526" priority="569" operator="equal">
      <formula>0</formula>
    </cfRule>
  </conditionalFormatting>
  <conditionalFormatting sqref="H14">
    <cfRule type="cellIs" dxfId="525" priority="567" operator="lessThanOrEqual">
      <formula>0</formula>
    </cfRule>
  </conditionalFormatting>
  <conditionalFormatting sqref="M14">
    <cfRule type="expression" dxfId="524" priority="548">
      <formula>AND(M14=0,L14&lt;&gt;"")</formula>
    </cfRule>
  </conditionalFormatting>
  <conditionalFormatting sqref="L14">
    <cfRule type="expression" dxfId="523" priority="550">
      <formula>AND(L14="",M14&gt;0)</formula>
    </cfRule>
  </conditionalFormatting>
  <conditionalFormatting sqref="L14:M14">
    <cfRule type="cellIs" dxfId="522" priority="551" operator="equal">
      <formula>0</formula>
    </cfRule>
  </conditionalFormatting>
  <conditionalFormatting sqref="M13">
    <cfRule type="expression" dxfId="521" priority="540">
      <formula>AND(M13=0,L13&lt;&gt;"")</formula>
    </cfRule>
  </conditionalFormatting>
  <conditionalFormatting sqref="L13">
    <cfRule type="expression" dxfId="520" priority="541">
      <formula>AND(L13="",M13&gt;0)</formula>
    </cfRule>
  </conditionalFormatting>
  <conditionalFormatting sqref="L13:M13">
    <cfRule type="cellIs" dxfId="519" priority="542" operator="equal">
      <formula>0</formula>
    </cfRule>
  </conditionalFormatting>
  <conditionalFormatting sqref="N14">
    <cfRule type="expression" dxfId="518" priority="528">
      <formula>ISNUMBER(N14)=FALSE</formula>
    </cfRule>
  </conditionalFormatting>
  <conditionalFormatting sqref="R13">
    <cfRule type="containsText" dxfId="517" priority="515" operator="containsText" text="Error">
      <formula>NOT(ISERROR(SEARCH("Error",R13)))</formula>
    </cfRule>
  </conditionalFormatting>
  <conditionalFormatting sqref="N13">
    <cfRule type="expression" dxfId="516" priority="514">
      <formula>ISNUMBER(N13)=FALSE</formula>
    </cfRule>
  </conditionalFormatting>
  <conditionalFormatting sqref="H15 K15">
    <cfRule type="expression" dxfId="515" priority="450">
      <formula>ISNUMBER(H15)=FALSE</formula>
    </cfRule>
  </conditionalFormatting>
  <conditionalFormatting sqref="F15:K15">
    <cfRule type="containsBlanks" dxfId="514" priority="447">
      <formula>LEN(TRIM(F15))=0</formula>
    </cfRule>
  </conditionalFormatting>
  <conditionalFormatting sqref="B15:C15">
    <cfRule type="containsBlanks" dxfId="513" priority="448">
      <formula>LEN(TRIM(B15))=0</formula>
    </cfRule>
  </conditionalFormatting>
  <conditionalFormatting sqref="K15">
    <cfRule type="cellIs" dxfId="512" priority="446" operator="lessThan">
      <formula>0</formula>
    </cfRule>
    <cfRule type="cellIs" dxfId="511" priority="451" operator="equal">
      <formula>0</formula>
    </cfRule>
  </conditionalFormatting>
  <conditionalFormatting sqref="H15">
    <cfRule type="cellIs" dxfId="510" priority="449" operator="lessThanOrEqual">
      <formula>0</formula>
    </cfRule>
  </conditionalFormatting>
  <conditionalFormatting sqref="M15">
    <cfRule type="expression" dxfId="509" priority="443">
      <formula>AND(M15=0,L15&lt;&gt;"")</formula>
    </cfRule>
  </conditionalFormatting>
  <conditionalFormatting sqref="L15">
    <cfRule type="expression" dxfId="508" priority="444">
      <formula>AND(L15="",M15&gt;0)</formula>
    </cfRule>
  </conditionalFormatting>
  <conditionalFormatting sqref="L15:M15">
    <cfRule type="cellIs" dxfId="507" priority="445" operator="equal">
      <formula>0</formula>
    </cfRule>
  </conditionalFormatting>
  <conditionalFormatting sqref="R15">
    <cfRule type="containsText" dxfId="506" priority="442" operator="containsText" text="Error">
      <formula>NOT(ISERROR(SEARCH("Error",R15)))</formula>
    </cfRule>
  </conditionalFormatting>
  <conditionalFormatting sqref="N15">
    <cfRule type="expression" dxfId="505" priority="441">
      <formula>ISNUMBER(N15)=FALSE</formula>
    </cfRule>
  </conditionalFormatting>
  <conditionalFormatting sqref="H16 K16">
    <cfRule type="expression" dxfId="504" priority="439">
      <formula>ISNUMBER(H16)=FALSE</formula>
    </cfRule>
  </conditionalFormatting>
  <conditionalFormatting sqref="F16:K16">
    <cfRule type="containsBlanks" dxfId="503" priority="436">
      <formula>LEN(TRIM(F16))=0</formula>
    </cfRule>
  </conditionalFormatting>
  <conditionalFormatting sqref="B16:C16">
    <cfRule type="containsBlanks" dxfId="502" priority="437">
      <formula>LEN(TRIM(B16))=0</formula>
    </cfRule>
  </conditionalFormatting>
  <conditionalFormatting sqref="K16">
    <cfRule type="cellIs" dxfId="501" priority="435" operator="lessThan">
      <formula>0</formula>
    </cfRule>
    <cfRule type="cellIs" dxfId="500" priority="440" operator="equal">
      <formula>0</formula>
    </cfRule>
  </conditionalFormatting>
  <conditionalFormatting sqref="H16">
    <cfRule type="cellIs" dxfId="499" priority="438" operator="lessThanOrEqual">
      <formula>0</formula>
    </cfRule>
  </conditionalFormatting>
  <conditionalFormatting sqref="M16">
    <cfRule type="expression" dxfId="498" priority="432">
      <formula>AND(M16=0,L16&lt;&gt;"")</formula>
    </cfRule>
  </conditionalFormatting>
  <conditionalFormatting sqref="L16">
    <cfRule type="expression" dxfId="497" priority="433">
      <formula>AND(L16="",M16&gt;0)</formula>
    </cfRule>
  </conditionalFormatting>
  <conditionalFormatting sqref="L16:M16">
    <cfRule type="cellIs" dxfId="496" priority="434" operator="equal">
      <formula>0</formula>
    </cfRule>
  </conditionalFormatting>
  <conditionalFormatting sqref="R16">
    <cfRule type="containsText" dxfId="495" priority="431" operator="containsText" text="Error">
      <formula>NOT(ISERROR(SEARCH("Error",R16)))</formula>
    </cfRule>
  </conditionalFormatting>
  <conditionalFormatting sqref="N16">
    <cfRule type="expression" dxfId="494" priority="430">
      <formula>ISNUMBER(N16)=FALSE</formula>
    </cfRule>
  </conditionalFormatting>
  <conditionalFormatting sqref="H17 K17">
    <cfRule type="expression" dxfId="493" priority="428">
      <formula>ISNUMBER(H17)=FALSE</formula>
    </cfRule>
  </conditionalFormatting>
  <conditionalFormatting sqref="F17:K17">
    <cfRule type="containsBlanks" dxfId="492" priority="425">
      <formula>LEN(TRIM(F17))=0</formula>
    </cfRule>
  </conditionalFormatting>
  <conditionalFormatting sqref="B17:C17">
    <cfRule type="containsBlanks" dxfId="491" priority="426">
      <formula>LEN(TRIM(B17))=0</formula>
    </cfRule>
  </conditionalFormatting>
  <conditionalFormatting sqref="K17">
    <cfRule type="cellIs" dxfId="490" priority="424" operator="lessThan">
      <formula>0</formula>
    </cfRule>
    <cfRule type="cellIs" dxfId="489" priority="429" operator="equal">
      <formula>0</formula>
    </cfRule>
  </conditionalFormatting>
  <conditionalFormatting sqref="H17">
    <cfRule type="cellIs" dxfId="488" priority="427" operator="lessThanOrEqual">
      <formula>0</formula>
    </cfRule>
  </conditionalFormatting>
  <conditionalFormatting sqref="M17">
    <cfRule type="expression" dxfId="487" priority="421">
      <formula>AND(M17=0,L17&lt;&gt;"")</formula>
    </cfRule>
  </conditionalFormatting>
  <conditionalFormatting sqref="L17">
    <cfRule type="expression" dxfId="486" priority="422">
      <formula>AND(L17="",M17&gt;0)</formula>
    </cfRule>
  </conditionalFormatting>
  <conditionalFormatting sqref="L17:M17">
    <cfRule type="cellIs" dxfId="485" priority="423" operator="equal">
      <formula>0</formula>
    </cfRule>
  </conditionalFormatting>
  <conditionalFormatting sqref="R17">
    <cfRule type="containsText" dxfId="484" priority="420" operator="containsText" text="Error">
      <formula>NOT(ISERROR(SEARCH("Error",R17)))</formula>
    </cfRule>
  </conditionalFormatting>
  <conditionalFormatting sqref="N17">
    <cfRule type="expression" dxfId="483" priority="419">
      <formula>ISNUMBER(N17)=FALSE</formula>
    </cfRule>
  </conditionalFormatting>
  <conditionalFormatting sqref="H18 K18">
    <cfRule type="expression" dxfId="482" priority="417">
      <formula>ISNUMBER(H18)=FALSE</formula>
    </cfRule>
  </conditionalFormatting>
  <conditionalFormatting sqref="F18:K18">
    <cfRule type="containsBlanks" dxfId="481" priority="414">
      <formula>LEN(TRIM(F18))=0</formula>
    </cfRule>
  </conditionalFormatting>
  <conditionalFormatting sqref="B18:C18">
    <cfRule type="containsBlanks" dxfId="480" priority="415">
      <formula>LEN(TRIM(B18))=0</formula>
    </cfRule>
  </conditionalFormatting>
  <conditionalFormatting sqref="K18">
    <cfRule type="cellIs" dxfId="479" priority="413" operator="lessThan">
      <formula>0</formula>
    </cfRule>
    <cfRule type="cellIs" dxfId="478" priority="418" operator="equal">
      <formula>0</formula>
    </cfRule>
  </conditionalFormatting>
  <conditionalFormatting sqref="H18">
    <cfRule type="cellIs" dxfId="477" priority="416" operator="lessThanOrEqual">
      <formula>0</formula>
    </cfRule>
  </conditionalFormatting>
  <conditionalFormatting sqref="M18">
    <cfRule type="expression" dxfId="476" priority="410">
      <formula>AND(M18=0,L18&lt;&gt;"")</formula>
    </cfRule>
  </conditionalFormatting>
  <conditionalFormatting sqref="L18">
    <cfRule type="expression" dxfId="475" priority="411">
      <formula>AND(L18="",M18&gt;0)</formula>
    </cfRule>
  </conditionalFormatting>
  <conditionalFormatting sqref="L18:M18">
    <cfRule type="cellIs" dxfId="474" priority="412" operator="equal">
      <formula>0</formula>
    </cfRule>
  </conditionalFormatting>
  <conditionalFormatting sqref="R18">
    <cfRule type="containsText" dxfId="473" priority="409" operator="containsText" text="Error">
      <formula>NOT(ISERROR(SEARCH("Error",R18)))</formula>
    </cfRule>
  </conditionalFormatting>
  <conditionalFormatting sqref="N18">
    <cfRule type="expression" dxfId="472" priority="408">
      <formula>ISNUMBER(N18)=FALSE</formula>
    </cfRule>
  </conditionalFormatting>
  <conditionalFormatting sqref="H19 K19">
    <cfRule type="expression" dxfId="471" priority="406">
      <formula>ISNUMBER(H19)=FALSE</formula>
    </cfRule>
  </conditionalFormatting>
  <conditionalFormatting sqref="F19:K19">
    <cfRule type="containsBlanks" dxfId="470" priority="403">
      <formula>LEN(TRIM(F19))=0</formula>
    </cfRule>
  </conditionalFormatting>
  <conditionalFormatting sqref="B19:C19">
    <cfRule type="containsBlanks" dxfId="469" priority="404">
      <formula>LEN(TRIM(B19))=0</formula>
    </cfRule>
  </conditionalFormatting>
  <conditionalFormatting sqref="K19">
    <cfRule type="cellIs" dxfId="468" priority="402" operator="lessThan">
      <formula>0</formula>
    </cfRule>
    <cfRule type="cellIs" dxfId="467" priority="407" operator="equal">
      <formula>0</formula>
    </cfRule>
  </conditionalFormatting>
  <conditionalFormatting sqref="H19">
    <cfRule type="cellIs" dxfId="466" priority="405" operator="lessThanOrEqual">
      <formula>0</formula>
    </cfRule>
  </conditionalFormatting>
  <conditionalFormatting sqref="M19">
    <cfRule type="expression" dxfId="465" priority="399">
      <formula>AND(M19=0,L19&lt;&gt;"")</formula>
    </cfRule>
  </conditionalFormatting>
  <conditionalFormatting sqref="L19">
    <cfRule type="expression" dxfId="464" priority="400">
      <formula>AND(L19="",M19&gt;0)</formula>
    </cfRule>
  </conditionalFormatting>
  <conditionalFormatting sqref="L19:M19">
    <cfRule type="cellIs" dxfId="463" priority="401" operator="equal">
      <formula>0</formula>
    </cfRule>
  </conditionalFormatting>
  <conditionalFormatting sqref="R19">
    <cfRule type="containsText" dxfId="462" priority="398" operator="containsText" text="Error">
      <formula>NOT(ISERROR(SEARCH("Error",R19)))</formula>
    </cfRule>
  </conditionalFormatting>
  <conditionalFormatting sqref="N19">
    <cfRule type="expression" dxfId="461" priority="397">
      <formula>ISNUMBER(N19)=FALSE</formula>
    </cfRule>
  </conditionalFormatting>
  <conditionalFormatting sqref="H20 K20">
    <cfRule type="expression" dxfId="460" priority="395">
      <formula>ISNUMBER(H20)=FALSE</formula>
    </cfRule>
  </conditionalFormatting>
  <conditionalFormatting sqref="F20:K20">
    <cfRule type="containsBlanks" dxfId="459" priority="392">
      <formula>LEN(TRIM(F20))=0</formula>
    </cfRule>
  </conditionalFormatting>
  <conditionalFormatting sqref="B20:C20">
    <cfRule type="containsBlanks" dxfId="458" priority="393">
      <formula>LEN(TRIM(B20))=0</formula>
    </cfRule>
  </conditionalFormatting>
  <conditionalFormatting sqref="K20">
    <cfRule type="cellIs" dxfId="457" priority="391" operator="lessThan">
      <formula>0</formula>
    </cfRule>
    <cfRule type="cellIs" dxfId="456" priority="396" operator="equal">
      <formula>0</formula>
    </cfRule>
  </conditionalFormatting>
  <conditionalFormatting sqref="H20">
    <cfRule type="cellIs" dxfId="455" priority="394" operator="lessThanOrEqual">
      <formula>0</formula>
    </cfRule>
  </conditionalFormatting>
  <conditionalFormatting sqref="M20">
    <cfRule type="expression" dxfId="454" priority="388">
      <formula>AND(M20=0,L20&lt;&gt;"")</formula>
    </cfRule>
  </conditionalFormatting>
  <conditionalFormatting sqref="L20">
    <cfRule type="expression" dxfId="453" priority="389">
      <formula>AND(L20="",M20&gt;0)</formula>
    </cfRule>
  </conditionalFormatting>
  <conditionalFormatting sqref="L20:M20">
    <cfRule type="cellIs" dxfId="452" priority="390" operator="equal">
      <formula>0</formula>
    </cfRule>
  </conditionalFormatting>
  <conditionalFormatting sqref="R20">
    <cfRule type="containsText" dxfId="451" priority="387" operator="containsText" text="Error">
      <formula>NOT(ISERROR(SEARCH("Error",R20)))</formula>
    </cfRule>
  </conditionalFormatting>
  <conditionalFormatting sqref="N20">
    <cfRule type="expression" dxfId="450" priority="386">
      <formula>ISNUMBER(N20)=FALSE</formula>
    </cfRule>
  </conditionalFormatting>
  <conditionalFormatting sqref="H21 K21">
    <cfRule type="expression" dxfId="449" priority="384">
      <formula>ISNUMBER(H21)=FALSE</formula>
    </cfRule>
  </conditionalFormatting>
  <conditionalFormatting sqref="F21:K21">
    <cfRule type="containsBlanks" dxfId="448" priority="381">
      <formula>LEN(TRIM(F21))=0</formula>
    </cfRule>
  </conditionalFormatting>
  <conditionalFormatting sqref="B21:C21">
    <cfRule type="containsBlanks" dxfId="447" priority="382">
      <formula>LEN(TRIM(B21))=0</formula>
    </cfRule>
  </conditionalFormatting>
  <conditionalFormatting sqref="K21">
    <cfRule type="cellIs" dxfId="446" priority="380" operator="lessThan">
      <formula>0</formula>
    </cfRule>
    <cfRule type="cellIs" dxfId="445" priority="385" operator="equal">
      <formula>0</formula>
    </cfRule>
  </conditionalFormatting>
  <conditionalFormatting sqref="H21">
    <cfRule type="cellIs" dxfId="444" priority="383" operator="lessThanOrEqual">
      <formula>0</formula>
    </cfRule>
  </conditionalFormatting>
  <conditionalFormatting sqref="M21">
    <cfRule type="expression" dxfId="443" priority="377">
      <formula>AND(M21=0,L21&lt;&gt;"")</formula>
    </cfRule>
  </conditionalFormatting>
  <conditionalFormatting sqref="L21">
    <cfRule type="expression" dxfId="442" priority="378">
      <formula>AND(L21="",M21&gt;0)</formula>
    </cfRule>
  </conditionalFormatting>
  <conditionalFormatting sqref="L21:M21">
    <cfRule type="cellIs" dxfId="441" priority="379" operator="equal">
      <formula>0</formula>
    </cfRule>
  </conditionalFormatting>
  <conditionalFormatting sqref="R21">
    <cfRule type="containsText" dxfId="440" priority="376" operator="containsText" text="Error">
      <formula>NOT(ISERROR(SEARCH("Error",R21)))</formula>
    </cfRule>
  </conditionalFormatting>
  <conditionalFormatting sqref="N21">
    <cfRule type="expression" dxfId="439" priority="375">
      <formula>ISNUMBER(N21)=FALSE</formula>
    </cfRule>
  </conditionalFormatting>
  <conditionalFormatting sqref="H22 K22">
    <cfRule type="expression" dxfId="438" priority="373">
      <formula>ISNUMBER(H22)=FALSE</formula>
    </cfRule>
  </conditionalFormatting>
  <conditionalFormatting sqref="F22:K22">
    <cfRule type="containsBlanks" dxfId="437" priority="370">
      <formula>LEN(TRIM(F22))=0</formula>
    </cfRule>
  </conditionalFormatting>
  <conditionalFormatting sqref="B22:C22">
    <cfRule type="containsBlanks" dxfId="436" priority="371">
      <formula>LEN(TRIM(B22))=0</formula>
    </cfRule>
  </conditionalFormatting>
  <conditionalFormatting sqref="K22">
    <cfRule type="cellIs" dxfId="435" priority="369" operator="lessThan">
      <formula>0</formula>
    </cfRule>
    <cfRule type="cellIs" dxfId="434" priority="374" operator="equal">
      <formula>0</formula>
    </cfRule>
  </conditionalFormatting>
  <conditionalFormatting sqref="H22">
    <cfRule type="cellIs" dxfId="433" priority="372" operator="lessThanOrEqual">
      <formula>0</formula>
    </cfRule>
  </conditionalFormatting>
  <conditionalFormatting sqref="M22">
    <cfRule type="expression" dxfId="432" priority="366">
      <formula>AND(M22=0,L22&lt;&gt;"")</formula>
    </cfRule>
  </conditionalFormatting>
  <conditionalFormatting sqref="L22">
    <cfRule type="expression" dxfId="431" priority="367">
      <formula>AND(L22="",M22&gt;0)</formula>
    </cfRule>
  </conditionalFormatting>
  <conditionalFormatting sqref="L22:M22">
    <cfRule type="cellIs" dxfId="430" priority="368" operator="equal">
      <formula>0</formula>
    </cfRule>
  </conditionalFormatting>
  <conditionalFormatting sqref="R22">
    <cfRule type="containsText" dxfId="429" priority="365" operator="containsText" text="Error">
      <formula>NOT(ISERROR(SEARCH("Error",R22)))</formula>
    </cfRule>
  </conditionalFormatting>
  <conditionalFormatting sqref="N22">
    <cfRule type="expression" dxfId="428" priority="364">
      <formula>ISNUMBER(N22)=FALSE</formula>
    </cfRule>
  </conditionalFormatting>
  <conditionalFormatting sqref="H23 K23">
    <cfRule type="expression" dxfId="427" priority="362">
      <formula>ISNUMBER(H23)=FALSE</formula>
    </cfRule>
  </conditionalFormatting>
  <conditionalFormatting sqref="F23:K23">
    <cfRule type="containsBlanks" dxfId="426" priority="359">
      <formula>LEN(TRIM(F23))=0</formula>
    </cfRule>
  </conditionalFormatting>
  <conditionalFormatting sqref="B23:C23">
    <cfRule type="containsBlanks" dxfId="425" priority="360">
      <formula>LEN(TRIM(B23))=0</formula>
    </cfRule>
  </conditionalFormatting>
  <conditionalFormatting sqref="K23">
    <cfRule type="cellIs" dxfId="424" priority="358" operator="lessThan">
      <formula>0</formula>
    </cfRule>
    <cfRule type="cellIs" dxfId="423" priority="363" operator="equal">
      <formula>0</formula>
    </cfRule>
  </conditionalFormatting>
  <conditionalFormatting sqref="H23">
    <cfRule type="cellIs" dxfId="422" priority="361" operator="lessThanOrEqual">
      <formula>0</formula>
    </cfRule>
  </conditionalFormatting>
  <conditionalFormatting sqref="M23">
    <cfRule type="expression" dxfId="421" priority="355">
      <formula>AND(M23=0,L23&lt;&gt;"")</formula>
    </cfRule>
  </conditionalFormatting>
  <conditionalFormatting sqref="L23">
    <cfRule type="expression" dxfId="420" priority="356">
      <formula>AND(L23="",M23&gt;0)</formula>
    </cfRule>
  </conditionalFormatting>
  <conditionalFormatting sqref="L23:M23">
    <cfRule type="cellIs" dxfId="419" priority="357" operator="equal">
      <formula>0</formula>
    </cfRule>
  </conditionalFormatting>
  <conditionalFormatting sqref="R23">
    <cfRule type="containsText" dxfId="418" priority="354" operator="containsText" text="Error">
      <formula>NOT(ISERROR(SEARCH("Error",R23)))</formula>
    </cfRule>
  </conditionalFormatting>
  <conditionalFormatting sqref="N23">
    <cfRule type="expression" dxfId="417" priority="353">
      <formula>ISNUMBER(N23)=FALSE</formula>
    </cfRule>
  </conditionalFormatting>
  <conditionalFormatting sqref="H24 K24">
    <cfRule type="expression" dxfId="416" priority="351">
      <formula>ISNUMBER(H24)=FALSE</formula>
    </cfRule>
  </conditionalFormatting>
  <conditionalFormatting sqref="F24:K24">
    <cfRule type="containsBlanks" dxfId="415" priority="348">
      <formula>LEN(TRIM(F24))=0</formula>
    </cfRule>
  </conditionalFormatting>
  <conditionalFormatting sqref="B24:C24">
    <cfRule type="containsBlanks" dxfId="414" priority="349">
      <formula>LEN(TRIM(B24))=0</formula>
    </cfRule>
  </conditionalFormatting>
  <conditionalFormatting sqref="K24">
    <cfRule type="cellIs" dxfId="413" priority="347" operator="lessThan">
      <formula>0</formula>
    </cfRule>
    <cfRule type="cellIs" dxfId="412" priority="352" operator="equal">
      <formula>0</formula>
    </cfRule>
  </conditionalFormatting>
  <conditionalFormatting sqref="H24">
    <cfRule type="cellIs" dxfId="411" priority="350" operator="lessThanOrEqual">
      <formula>0</formula>
    </cfRule>
  </conditionalFormatting>
  <conditionalFormatting sqref="M24">
    <cfRule type="expression" dxfId="410" priority="344">
      <formula>AND(M24=0,L24&lt;&gt;"")</formula>
    </cfRule>
  </conditionalFormatting>
  <conditionalFormatting sqref="L24">
    <cfRule type="expression" dxfId="409" priority="345">
      <formula>AND(L24="",M24&gt;0)</formula>
    </cfRule>
  </conditionalFormatting>
  <conditionalFormatting sqref="L24:M24">
    <cfRule type="cellIs" dxfId="408" priority="346" operator="equal">
      <formula>0</formula>
    </cfRule>
  </conditionalFormatting>
  <conditionalFormatting sqref="R24">
    <cfRule type="containsText" dxfId="407" priority="343" operator="containsText" text="Error">
      <formula>NOT(ISERROR(SEARCH("Error",R24)))</formula>
    </cfRule>
  </conditionalFormatting>
  <conditionalFormatting sqref="N24">
    <cfRule type="expression" dxfId="406" priority="342">
      <formula>ISNUMBER(N24)=FALSE</formula>
    </cfRule>
  </conditionalFormatting>
  <conditionalFormatting sqref="H25 K25">
    <cfRule type="expression" dxfId="405" priority="340">
      <formula>ISNUMBER(H25)=FALSE</formula>
    </cfRule>
  </conditionalFormatting>
  <conditionalFormatting sqref="F25:K25">
    <cfRule type="containsBlanks" dxfId="404" priority="337">
      <formula>LEN(TRIM(F25))=0</formula>
    </cfRule>
  </conditionalFormatting>
  <conditionalFormatting sqref="B25:C25">
    <cfRule type="containsBlanks" dxfId="403" priority="338">
      <formula>LEN(TRIM(B25))=0</formula>
    </cfRule>
  </conditionalFormatting>
  <conditionalFormatting sqref="K25">
    <cfRule type="cellIs" dxfId="402" priority="336" operator="lessThan">
      <formula>0</formula>
    </cfRule>
    <cfRule type="cellIs" dxfId="401" priority="341" operator="equal">
      <formula>0</formula>
    </cfRule>
  </conditionalFormatting>
  <conditionalFormatting sqref="H25">
    <cfRule type="cellIs" dxfId="400" priority="339" operator="lessThanOrEqual">
      <formula>0</formula>
    </cfRule>
  </conditionalFormatting>
  <conditionalFormatting sqref="M25">
    <cfRule type="expression" dxfId="399" priority="333">
      <formula>AND(M25=0,L25&lt;&gt;"")</formula>
    </cfRule>
  </conditionalFormatting>
  <conditionalFormatting sqref="L25">
    <cfRule type="expression" dxfId="398" priority="334">
      <formula>AND(L25="",M25&gt;0)</formula>
    </cfRule>
  </conditionalFormatting>
  <conditionalFormatting sqref="L25:M25">
    <cfRule type="cellIs" dxfId="397" priority="335" operator="equal">
      <formula>0</formula>
    </cfRule>
  </conditionalFormatting>
  <conditionalFormatting sqref="R25">
    <cfRule type="containsText" dxfId="396" priority="332" operator="containsText" text="Error">
      <formula>NOT(ISERROR(SEARCH("Error",R25)))</formula>
    </cfRule>
  </conditionalFormatting>
  <conditionalFormatting sqref="N25">
    <cfRule type="expression" dxfId="395" priority="331">
      <formula>ISNUMBER(N25)=FALSE</formula>
    </cfRule>
  </conditionalFormatting>
  <conditionalFormatting sqref="H26 K26">
    <cfRule type="expression" dxfId="394" priority="329">
      <formula>ISNUMBER(H26)=FALSE</formula>
    </cfRule>
  </conditionalFormatting>
  <conditionalFormatting sqref="F26:K26">
    <cfRule type="containsBlanks" dxfId="393" priority="326">
      <formula>LEN(TRIM(F26))=0</formula>
    </cfRule>
  </conditionalFormatting>
  <conditionalFormatting sqref="B26:C26">
    <cfRule type="containsBlanks" dxfId="392" priority="327">
      <formula>LEN(TRIM(B26))=0</formula>
    </cfRule>
  </conditionalFormatting>
  <conditionalFormatting sqref="K26">
    <cfRule type="cellIs" dxfId="391" priority="325" operator="lessThan">
      <formula>0</formula>
    </cfRule>
    <cfRule type="cellIs" dxfId="390" priority="330" operator="equal">
      <formula>0</formula>
    </cfRule>
  </conditionalFormatting>
  <conditionalFormatting sqref="H26">
    <cfRule type="cellIs" dxfId="389" priority="328" operator="lessThanOrEqual">
      <formula>0</formula>
    </cfRule>
  </conditionalFormatting>
  <conditionalFormatting sqref="M26">
    <cfRule type="expression" dxfId="388" priority="322">
      <formula>AND(M26=0,L26&lt;&gt;"")</formula>
    </cfRule>
  </conditionalFormatting>
  <conditionalFormatting sqref="L26">
    <cfRule type="expression" dxfId="387" priority="323">
      <formula>AND(L26="",M26&gt;0)</formula>
    </cfRule>
  </conditionalFormatting>
  <conditionalFormatting sqref="L26:M26">
    <cfRule type="cellIs" dxfId="386" priority="324" operator="equal">
      <formula>0</formula>
    </cfRule>
  </conditionalFormatting>
  <conditionalFormatting sqref="R26">
    <cfRule type="containsText" dxfId="385" priority="321" operator="containsText" text="Error">
      <formula>NOT(ISERROR(SEARCH("Error",R26)))</formula>
    </cfRule>
  </conditionalFormatting>
  <conditionalFormatting sqref="N26">
    <cfRule type="expression" dxfId="384" priority="320">
      <formula>ISNUMBER(N26)=FALSE</formula>
    </cfRule>
  </conditionalFormatting>
  <conditionalFormatting sqref="H27 K27">
    <cfRule type="expression" dxfId="383" priority="318">
      <formula>ISNUMBER(H27)=FALSE</formula>
    </cfRule>
  </conditionalFormatting>
  <conditionalFormatting sqref="F27:K27">
    <cfRule type="containsBlanks" dxfId="382" priority="315">
      <formula>LEN(TRIM(F27))=0</formula>
    </cfRule>
  </conditionalFormatting>
  <conditionalFormatting sqref="B27:C27">
    <cfRule type="containsBlanks" dxfId="381" priority="316">
      <formula>LEN(TRIM(B27))=0</formula>
    </cfRule>
  </conditionalFormatting>
  <conditionalFormatting sqref="K27">
    <cfRule type="cellIs" dxfId="380" priority="314" operator="lessThan">
      <formula>0</formula>
    </cfRule>
    <cfRule type="cellIs" dxfId="379" priority="319" operator="equal">
      <formula>0</formula>
    </cfRule>
  </conditionalFormatting>
  <conditionalFormatting sqref="H27">
    <cfRule type="cellIs" dxfId="378" priority="317" operator="lessThanOrEqual">
      <formula>0</formula>
    </cfRule>
  </conditionalFormatting>
  <conditionalFormatting sqref="M27">
    <cfRule type="expression" dxfId="377" priority="311">
      <formula>AND(M27=0,L27&lt;&gt;"")</formula>
    </cfRule>
  </conditionalFormatting>
  <conditionalFormatting sqref="L27">
    <cfRule type="expression" dxfId="376" priority="312">
      <formula>AND(L27="",M27&gt;0)</formula>
    </cfRule>
  </conditionalFormatting>
  <conditionalFormatting sqref="L27:M27">
    <cfRule type="cellIs" dxfId="375" priority="313" operator="equal">
      <formula>0</formula>
    </cfRule>
  </conditionalFormatting>
  <conditionalFormatting sqref="R27">
    <cfRule type="containsText" dxfId="374" priority="310" operator="containsText" text="Error">
      <formula>NOT(ISERROR(SEARCH("Error",R27)))</formula>
    </cfRule>
  </conditionalFormatting>
  <conditionalFormatting sqref="N27">
    <cfRule type="expression" dxfId="373" priority="309">
      <formula>ISNUMBER(N27)=FALSE</formula>
    </cfRule>
  </conditionalFormatting>
  <conditionalFormatting sqref="H28 K28">
    <cfRule type="expression" dxfId="372" priority="307">
      <formula>ISNUMBER(H28)=FALSE</formula>
    </cfRule>
  </conditionalFormatting>
  <conditionalFormatting sqref="F28:K28">
    <cfRule type="containsBlanks" dxfId="371" priority="304">
      <formula>LEN(TRIM(F28))=0</formula>
    </cfRule>
  </conditionalFormatting>
  <conditionalFormatting sqref="B28:C28">
    <cfRule type="containsBlanks" dxfId="370" priority="305">
      <formula>LEN(TRIM(B28))=0</formula>
    </cfRule>
  </conditionalFormatting>
  <conditionalFormatting sqref="K28">
    <cfRule type="cellIs" dxfId="369" priority="303" operator="lessThan">
      <formula>0</formula>
    </cfRule>
    <cfRule type="cellIs" dxfId="368" priority="308" operator="equal">
      <formula>0</formula>
    </cfRule>
  </conditionalFormatting>
  <conditionalFormatting sqref="H28">
    <cfRule type="cellIs" dxfId="367" priority="306" operator="lessThanOrEqual">
      <formula>0</formula>
    </cfRule>
  </conditionalFormatting>
  <conditionalFormatting sqref="M28">
    <cfRule type="expression" dxfId="366" priority="300">
      <formula>AND(M28=0,L28&lt;&gt;"")</formula>
    </cfRule>
  </conditionalFormatting>
  <conditionalFormatting sqref="L28">
    <cfRule type="expression" dxfId="365" priority="301">
      <formula>AND(L28="",M28&gt;0)</formula>
    </cfRule>
  </conditionalFormatting>
  <conditionalFormatting sqref="L28:M28">
    <cfRule type="cellIs" dxfId="364" priority="302" operator="equal">
      <formula>0</formula>
    </cfRule>
  </conditionalFormatting>
  <conditionalFormatting sqref="R28">
    <cfRule type="containsText" dxfId="363" priority="299" operator="containsText" text="Error">
      <formula>NOT(ISERROR(SEARCH("Error",R28)))</formula>
    </cfRule>
  </conditionalFormatting>
  <conditionalFormatting sqref="N28">
    <cfRule type="expression" dxfId="362" priority="298">
      <formula>ISNUMBER(N28)=FALSE</formula>
    </cfRule>
  </conditionalFormatting>
  <conditionalFormatting sqref="H29 K29">
    <cfRule type="expression" dxfId="361" priority="296">
      <formula>ISNUMBER(H29)=FALSE</formula>
    </cfRule>
  </conditionalFormatting>
  <conditionalFormatting sqref="F29:K29">
    <cfRule type="containsBlanks" dxfId="360" priority="293">
      <formula>LEN(TRIM(F29))=0</formula>
    </cfRule>
  </conditionalFormatting>
  <conditionalFormatting sqref="B29:C29">
    <cfRule type="containsBlanks" dxfId="359" priority="294">
      <formula>LEN(TRIM(B29))=0</formula>
    </cfRule>
  </conditionalFormatting>
  <conditionalFormatting sqref="K29">
    <cfRule type="cellIs" dxfId="358" priority="292" operator="lessThan">
      <formula>0</formula>
    </cfRule>
    <cfRule type="cellIs" dxfId="357" priority="297" operator="equal">
      <formula>0</formula>
    </cfRule>
  </conditionalFormatting>
  <conditionalFormatting sqref="H29">
    <cfRule type="cellIs" dxfId="356" priority="295" operator="lessThanOrEqual">
      <formula>0</formula>
    </cfRule>
  </conditionalFormatting>
  <conditionalFormatting sqref="M29">
    <cfRule type="expression" dxfId="355" priority="289">
      <formula>AND(M29=0,L29&lt;&gt;"")</formula>
    </cfRule>
  </conditionalFormatting>
  <conditionalFormatting sqref="L29">
    <cfRule type="expression" dxfId="354" priority="290">
      <formula>AND(L29="",M29&gt;0)</formula>
    </cfRule>
  </conditionalFormatting>
  <conditionalFormatting sqref="L29:M29">
    <cfRule type="cellIs" dxfId="353" priority="291" operator="equal">
      <formula>0</formula>
    </cfRule>
  </conditionalFormatting>
  <conditionalFormatting sqref="R29">
    <cfRule type="containsText" dxfId="352" priority="288" operator="containsText" text="Error">
      <formula>NOT(ISERROR(SEARCH("Error",R29)))</formula>
    </cfRule>
  </conditionalFormatting>
  <conditionalFormatting sqref="N29">
    <cfRule type="expression" dxfId="351" priority="287">
      <formula>ISNUMBER(N29)=FALSE</formula>
    </cfRule>
  </conditionalFormatting>
  <conditionalFormatting sqref="H30 K30">
    <cfRule type="expression" dxfId="350" priority="285">
      <formula>ISNUMBER(H30)=FALSE</formula>
    </cfRule>
  </conditionalFormatting>
  <conditionalFormatting sqref="F30:K30">
    <cfRule type="containsBlanks" dxfId="349" priority="282">
      <formula>LEN(TRIM(F30))=0</formula>
    </cfRule>
  </conditionalFormatting>
  <conditionalFormatting sqref="B30:C30">
    <cfRule type="containsBlanks" dxfId="348" priority="283">
      <formula>LEN(TRIM(B30))=0</formula>
    </cfRule>
  </conditionalFormatting>
  <conditionalFormatting sqref="K30">
    <cfRule type="cellIs" dxfId="347" priority="281" operator="lessThan">
      <formula>0</formula>
    </cfRule>
    <cfRule type="cellIs" dxfId="346" priority="286" operator="equal">
      <formula>0</formula>
    </cfRule>
  </conditionalFormatting>
  <conditionalFormatting sqref="H30">
    <cfRule type="cellIs" dxfId="345" priority="284" operator="lessThanOrEqual">
      <formula>0</formula>
    </cfRule>
  </conditionalFormatting>
  <conditionalFormatting sqref="M30">
    <cfRule type="expression" dxfId="344" priority="278">
      <formula>AND(M30=0,L30&lt;&gt;"")</formula>
    </cfRule>
  </conditionalFormatting>
  <conditionalFormatting sqref="L30">
    <cfRule type="expression" dxfId="343" priority="279">
      <formula>AND(L30="",M30&gt;0)</formula>
    </cfRule>
  </conditionalFormatting>
  <conditionalFormatting sqref="L30:M30">
    <cfRule type="cellIs" dxfId="342" priority="280" operator="equal">
      <formula>0</formula>
    </cfRule>
  </conditionalFormatting>
  <conditionalFormatting sqref="R30">
    <cfRule type="containsText" dxfId="341" priority="277" operator="containsText" text="Error">
      <formula>NOT(ISERROR(SEARCH("Error",R30)))</formula>
    </cfRule>
  </conditionalFormatting>
  <conditionalFormatting sqref="N30">
    <cfRule type="expression" dxfId="340" priority="276">
      <formula>ISNUMBER(N30)=FALSE</formula>
    </cfRule>
  </conditionalFormatting>
  <conditionalFormatting sqref="H31 K31">
    <cfRule type="expression" dxfId="339" priority="274">
      <formula>ISNUMBER(H31)=FALSE</formula>
    </cfRule>
  </conditionalFormatting>
  <conditionalFormatting sqref="F31:K31">
    <cfRule type="containsBlanks" dxfId="338" priority="271">
      <formula>LEN(TRIM(F31))=0</formula>
    </cfRule>
  </conditionalFormatting>
  <conditionalFormatting sqref="B31:C31">
    <cfRule type="containsBlanks" dxfId="337" priority="272">
      <formula>LEN(TRIM(B31))=0</formula>
    </cfRule>
  </conditionalFormatting>
  <conditionalFormatting sqref="K31">
    <cfRule type="cellIs" dxfId="336" priority="270" operator="lessThan">
      <formula>0</formula>
    </cfRule>
    <cfRule type="cellIs" dxfId="335" priority="275" operator="equal">
      <formula>0</formula>
    </cfRule>
  </conditionalFormatting>
  <conditionalFormatting sqref="H31">
    <cfRule type="cellIs" dxfId="334" priority="273" operator="lessThanOrEqual">
      <formula>0</formula>
    </cfRule>
  </conditionalFormatting>
  <conditionalFormatting sqref="M31">
    <cfRule type="expression" dxfId="333" priority="267">
      <formula>AND(M31=0,L31&lt;&gt;"")</formula>
    </cfRule>
  </conditionalFormatting>
  <conditionalFormatting sqref="L31">
    <cfRule type="expression" dxfId="332" priority="268">
      <formula>AND(L31="",M31&gt;0)</formula>
    </cfRule>
  </conditionalFormatting>
  <conditionalFormatting sqref="L31:M31">
    <cfRule type="cellIs" dxfId="331" priority="269" operator="equal">
      <formula>0</formula>
    </cfRule>
  </conditionalFormatting>
  <conditionalFormatting sqref="R31">
    <cfRule type="containsText" dxfId="330" priority="266" operator="containsText" text="Error">
      <formula>NOT(ISERROR(SEARCH("Error",R31)))</formula>
    </cfRule>
  </conditionalFormatting>
  <conditionalFormatting sqref="N31">
    <cfRule type="expression" dxfId="329" priority="265">
      <formula>ISNUMBER(N31)=FALSE</formula>
    </cfRule>
  </conditionalFormatting>
  <conditionalFormatting sqref="H32 K32">
    <cfRule type="expression" dxfId="328" priority="263">
      <formula>ISNUMBER(H32)=FALSE</formula>
    </cfRule>
  </conditionalFormatting>
  <conditionalFormatting sqref="F32:K32">
    <cfRule type="containsBlanks" dxfId="327" priority="260">
      <formula>LEN(TRIM(F32))=0</formula>
    </cfRule>
  </conditionalFormatting>
  <conditionalFormatting sqref="B32:C32">
    <cfRule type="containsBlanks" dxfId="326" priority="261">
      <formula>LEN(TRIM(B32))=0</formula>
    </cfRule>
  </conditionalFormatting>
  <conditionalFormatting sqref="K32">
    <cfRule type="cellIs" dxfId="325" priority="259" operator="lessThan">
      <formula>0</formula>
    </cfRule>
    <cfRule type="cellIs" dxfId="324" priority="264" operator="equal">
      <formula>0</formula>
    </cfRule>
  </conditionalFormatting>
  <conditionalFormatting sqref="H32">
    <cfRule type="cellIs" dxfId="323" priority="262" operator="lessThanOrEqual">
      <formula>0</formula>
    </cfRule>
  </conditionalFormatting>
  <conditionalFormatting sqref="M32">
    <cfRule type="expression" dxfId="322" priority="256">
      <formula>AND(M32=0,L32&lt;&gt;"")</formula>
    </cfRule>
  </conditionalFormatting>
  <conditionalFormatting sqref="L32">
    <cfRule type="expression" dxfId="321" priority="257">
      <formula>AND(L32="",M32&gt;0)</formula>
    </cfRule>
  </conditionalFormatting>
  <conditionalFormatting sqref="L32:M32">
    <cfRule type="cellIs" dxfId="320" priority="258" operator="equal">
      <formula>0</formula>
    </cfRule>
  </conditionalFormatting>
  <conditionalFormatting sqref="R32">
    <cfRule type="containsText" dxfId="319" priority="255" operator="containsText" text="Error">
      <formula>NOT(ISERROR(SEARCH("Error",R32)))</formula>
    </cfRule>
  </conditionalFormatting>
  <conditionalFormatting sqref="N32">
    <cfRule type="expression" dxfId="318" priority="254">
      <formula>ISNUMBER(N32)=FALSE</formula>
    </cfRule>
  </conditionalFormatting>
  <conditionalFormatting sqref="H33 K33">
    <cfRule type="expression" dxfId="317" priority="252">
      <formula>ISNUMBER(H33)=FALSE</formula>
    </cfRule>
  </conditionalFormatting>
  <conditionalFormatting sqref="F33:K33">
    <cfRule type="containsBlanks" dxfId="316" priority="249">
      <formula>LEN(TRIM(F33))=0</formula>
    </cfRule>
  </conditionalFormatting>
  <conditionalFormatting sqref="B33:C33">
    <cfRule type="containsBlanks" dxfId="315" priority="250">
      <formula>LEN(TRIM(B33))=0</formula>
    </cfRule>
  </conditionalFormatting>
  <conditionalFormatting sqref="K33">
    <cfRule type="cellIs" dxfId="314" priority="248" operator="lessThan">
      <formula>0</formula>
    </cfRule>
    <cfRule type="cellIs" dxfId="313" priority="253" operator="equal">
      <formula>0</formula>
    </cfRule>
  </conditionalFormatting>
  <conditionalFormatting sqref="H33">
    <cfRule type="cellIs" dxfId="312" priority="251" operator="lessThanOrEqual">
      <formula>0</formula>
    </cfRule>
  </conditionalFormatting>
  <conditionalFormatting sqref="M33">
    <cfRule type="expression" dxfId="311" priority="245">
      <formula>AND(M33=0,L33&lt;&gt;"")</formula>
    </cfRule>
  </conditionalFormatting>
  <conditionalFormatting sqref="L33">
    <cfRule type="expression" dxfId="310" priority="246">
      <formula>AND(L33="",M33&gt;0)</formula>
    </cfRule>
  </conditionalFormatting>
  <conditionalFormatting sqref="L33:M33">
    <cfRule type="cellIs" dxfId="309" priority="247" operator="equal">
      <formula>0</formula>
    </cfRule>
  </conditionalFormatting>
  <conditionalFormatting sqref="R33">
    <cfRule type="containsText" dxfId="308" priority="244" operator="containsText" text="Error">
      <formula>NOT(ISERROR(SEARCH("Error",R33)))</formula>
    </cfRule>
  </conditionalFormatting>
  <conditionalFormatting sqref="N33">
    <cfRule type="expression" dxfId="307" priority="243">
      <formula>ISNUMBER(N33)=FALSE</formula>
    </cfRule>
  </conditionalFormatting>
  <conditionalFormatting sqref="H34 K34">
    <cfRule type="expression" dxfId="306" priority="241">
      <formula>ISNUMBER(H34)=FALSE</formula>
    </cfRule>
  </conditionalFormatting>
  <conditionalFormatting sqref="F34:K34">
    <cfRule type="containsBlanks" dxfId="305" priority="238">
      <formula>LEN(TRIM(F34))=0</formula>
    </cfRule>
  </conditionalFormatting>
  <conditionalFormatting sqref="B34:C34">
    <cfRule type="containsBlanks" dxfId="304" priority="239">
      <formula>LEN(TRIM(B34))=0</formula>
    </cfRule>
  </conditionalFormatting>
  <conditionalFormatting sqref="K34">
    <cfRule type="cellIs" dxfId="303" priority="237" operator="lessThan">
      <formula>0</formula>
    </cfRule>
    <cfRule type="cellIs" dxfId="302" priority="242" operator="equal">
      <formula>0</formula>
    </cfRule>
  </conditionalFormatting>
  <conditionalFormatting sqref="H34">
    <cfRule type="cellIs" dxfId="301" priority="240" operator="lessThanOrEqual">
      <formula>0</formula>
    </cfRule>
  </conditionalFormatting>
  <conditionalFormatting sqref="M34">
    <cfRule type="expression" dxfId="300" priority="234">
      <formula>AND(M34=0,L34&lt;&gt;"")</formula>
    </cfRule>
  </conditionalFormatting>
  <conditionalFormatting sqref="L34">
    <cfRule type="expression" dxfId="299" priority="235">
      <formula>AND(L34="",M34&gt;0)</formula>
    </cfRule>
  </conditionalFormatting>
  <conditionalFormatting sqref="L34:M34">
    <cfRule type="cellIs" dxfId="298" priority="236" operator="equal">
      <formula>0</formula>
    </cfRule>
  </conditionalFormatting>
  <conditionalFormatting sqref="R34">
    <cfRule type="containsText" dxfId="297" priority="233" operator="containsText" text="Error">
      <formula>NOT(ISERROR(SEARCH("Error",R34)))</formula>
    </cfRule>
  </conditionalFormatting>
  <conditionalFormatting sqref="N34">
    <cfRule type="expression" dxfId="296" priority="232">
      <formula>ISNUMBER(N34)=FALSE</formula>
    </cfRule>
  </conditionalFormatting>
  <conditionalFormatting sqref="H35 K35">
    <cfRule type="expression" dxfId="295" priority="230">
      <formula>ISNUMBER(H35)=FALSE</formula>
    </cfRule>
  </conditionalFormatting>
  <conditionalFormatting sqref="F35:K35">
    <cfRule type="containsBlanks" dxfId="294" priority="227">
      <formula>LEN(TRIM(F35))=0</formula>
    </cfRule>
  </conditionalFormatting>
  <conditionalFormatting sqref="B35:C35">
    <cfRule type="containsBlanks" dxfId="293" priority="228">
      <formula>LEN(TRIM(B35))=0</formula>
    </cfRule>
  </conditionalFormatting>
  <conditionalFormatting sqref="K35">
    <cfRule type="cellIs" dxfId="292" priority="226" operator="lessThan">
      <formula>0</formula>
    </cfRule>
    <cfRule type="cellIs" dxfId="291" priority="231" operator="equal">
      <formula>0</formula>
    </cfRule>
  </conditionalFormatting>
  <conditionalFormatting sqref="H35">
    <cfRule type="cellIs" dxfId="290" priority="229" operator="lessThanOrEqual">
      <formula>0</formula>
    </cfRule>
  </conditionalFormatting>
  <conditionalFormatting sqref="M35">
    <cfRule type="expression" dxfId="289" priority="223">
      <formula>AND(M35=0,L35&lt;&gt;"")</formula>
    </cfRule>
  </conditionalFormatting>
  <conditionalFormatting sqref="L35">
    <cfRule type="expression" dxfId="288" priority="224">
      <formula>AND(L35="",M35&gt;0)</formula>
    </cfRule>
  </conditionalFormatting>
  <conditionalFormatting sqref="L35:M35">
    <cfRule type="cellIs" dxfId="287" priority="225" operator="equal">
      <formula>0</formula>
    </cfRule>
  </conditionalFormatting>
  <conditionalFormatting sqref="R35">
    <cfRule type="containsText" dxfId="286" priority="222" operator="containsText" text="Error">
      <formula>NOT(ISERROR(SEARCH("Error",R35)))</formula>
    </cfRule>
  </conditionalFormatting>
  <conditionalFormatting sqref="N35">
    <cfRule type="expression" dxfId="285" priority="221">
      <formula>ISNUMBER(N35)=FALSE</formula>
    </cfRule>
  </conditionalFormatting>
  <conditionalFormatting sqref="H36 K36">
    <cfRule type="expression" dxfId="284" priority="219">
      <formula>ISNUMBER(H36)=FALSE</formula>
    </cfRule>
  </conditionalFormatting>
  <conditionalFormatting sqref="F36:K36">
    <cfRule type="containsBlanks" dxfId="283" priority="216">
      <formula>LEN(TRIM(F36))=0</formula>
    </cfRule>
  </conditionalFormatting>
  <conditionalFormatting sqref="B36:C36">
    <cfRule type="containsBlanks" dxfId="282" priority="217">
      <formula>LEN(TRIM(B36))=0</formula>
    </cfRule>
  </conditionalFormatting>
  <conditionalFormatting sqref="K36">
    <cfRule type="cellIs" dxfId="281" priority="215" operator="lessThan">
      <formula>0</formula>
    </cfRule>
    <cfRule type="cellIs" dxfId="280" priority="220" operator="equal">
      <formula>0</formula>
    </cfRule>
  </conditionalFormatting>
  <conditionalFormatting sqref="H36">
    <cfRule type="cellIs" dxfId="279" priority="218" operator="lessThanOrEqual">
      <formula>0</formula>
    </cfRule>
  </conditionalFormatting>
  <conditionalFormatting sqref="M36">
    <cfRule type="expression" dxfId="278" priority="212">
      <formula>AND(M36=0,L36&lt;&gt;"")</formula>
    </cfRule>
  </conditionalFormatting>
  <conditionalFormatting sqref="L36">
    <cfRule type="expression" dxfId="277" priority="213">
      <formula>AND(L36="",M36&gt;0)</formula>
    </cfRule>
  </conditionalFormatting>
  <conditionalFormatting sqref="L36:M36">
    <cfRule type="cellIs" dxfId="276" priority="214" operator="equal">
      <formula>0</formula>
    </cfRule>
  </conditionalFormatting>
  <conditionalFormatting sqref="R36">
    <cfRule type="containsText" dxfId="275" priority="211" operator="containsText" text="Error">
      <formula>NOT(ISERROR(SEARCH("Error",R36)))</formula>
    </cfRule>
  </conditionalFormatting>
  <conditionalFormatting sqref="N36">
    <cfRule type="expression" dxfId="274" priority="210">
      <formula>ISNUMBER(N36)=FALSE</formula>
    </cfRule>
  </conditionalFormatting>
  <conditionalFormatting sqref="H37 K37">
    <cfRule type="expression" dxfId="273" priority="208">
      <formula>ISNUMBER(H37)=FALSE</formula>
    </cfRule>
  </conditionalFormatting>
  <conditionalFormatting sqref="F37:K37">
    <cfRule type="containsBlanks" dxfId="272" priority="205">
      <formula>LEN(TRIM(F37))=0</formula>
    </cfRule>
  </conditionalFormatting>
  <conditionalFormatting sqref="B37:C37">
    <cfRule type="containsBlanks" dxfId="271" priority="206">
      <formula>LEN(TRIM(B37))=0</formula>
    </cfRule>
  </conditionalFormatting>
  <conditionalFormatting sqref="K37">
    <cfRule type="cellIs" dxfId="270" priority="204" operator="lessThan">
      <formula>0</formula>
    </cfRule>
    <cfRule type="cellIs" dxfId="269" priority="209" operator="equal">
      <formula>0</formula>
    </cfRule>
  </conditionalFormatting>
  <conditionalFormatting sqref="H37">
    <cfRule type="cellIs" dxfId="268" priority="207" operator="lessThanOrEqual">
      <formula>0</formula>
    </cfRule>
  </conditionalFormatting>
  <conditionalFormatting sqref="M37">
    <cfRule type="expression" dxfId="267" priority="201">
      <formula>AND(M37=0,L37&lt;&gt;"")</formula>
    </cfRule>
  </conditionalFormatting>
  <conditionalFormatting sqref="L37">
    <cfRule type="expression" dxfId="266" priority="202">
      <formula>AND(L37="",M37&gt;0)</formula>
    </cfRule>
  </conditionalFormatting>
  <conditionalFormatting sqref="L37:M37">
    <cfRule type="cellIs" dxfId="265" priority="203" operator="equal">
      <formula>0</formula>
    </cfRule>
  </conditionalFormatting>
  <conditionalFormatting sqref="R37">
    <cfRule type="containsText" dxfId="264" priority="200" operator="containsText" text="Error">
      <formula>NOT(ISERROR(SEARCH("Error",R37)))</formula>
    </cfRule>
  </conditionalFormatting>
  <conditionalFormatting sqref="N37">
    <cfRule type="expression" dxfId="263" priority="199">
      <formula>ISNUMBER(N37)=FALSE</formula>
    </cfRule>
  </conditionalFormatting>
  <conditionalFormatting sqref="H38 K38">
    <cfRule type="expression" dxfId="262" priority="197">
      <formula>ISNUMBER(H38)=FALSE</formula>
    </cfRule>
  </conditionalFormatting>
  <conditionalFormatting sqref="F38:K38">
    <cfRule type="containsBlanks" dxfId="261" priority="194">
      <formula>LEN(TRIM(F38))=0</formula>
    </cfRule>
  </conditionalFormatting>
  <conditionalFormatting sqref="B38:C38">
    <cfRule type="containsBlanks" dxfId="260" priority="195">
      <formula>LEN(TRIM(B38))=0</formula>
    </cfRule>
  </conditionalFormatting>
  <conditionalFormatting sqref="K38">
    <cfRule type="cellIs" dxfId="259" priority="193" operator="lessThan">
      <formula>0</formula>
    </cfRule>
    <cfRule type="cellIs" dxfId="258" priority="198" operator="equal">
      <formula>0</formula>
    </cfRule>
  </conditionalFormatting>
  <conditionalFormatting sqref="H38">
    <cfRule type="cellIs" dxfId="257" priority="196" operator="lessThanOrEqual">
      <formula>0</formula>
    </cfRule>
  </conditionalFormatting>
  <conditionalFormatting sqref="M38">
    <cfRule type="expression" dxfId="256" priority="190">
      <formula>AND(M38=0,L38&lt;&gt;"")</formula>
    </cfRule>
  </conditionalFormatting>
  <conditionalFormatting sqref="L38">
    <cfRule type="expression" dxfId="255" priority="191">
      <formula>AND(L38="",M38&gt;0)</formula>
    </cfRule>
  </conditionalFormatting>
  <conditionalFormatting sqref="L38:M38">
    <cfRule type="cellIs" dxfId="254" priority="192" operator="equal">
      <formula>0</formula>
    </cfRule>
  </conditionalFormatting>
  <conditionalFormatting sqref="R38">
    <cfRule type="containsText" dxfId="253" priority="189" operator="containsText" text="Error">
      <formula>NOT(ISERROR(SEARCH("Error",R38)))</formula>
    </cfRule>
  </conditionalFormatting>
  <conditionalFormatting sqref="N38">
    <cfRule type="expression" dxfId="252" priority="188">
      <formula>ISNUMBER(N38)=FALSE</formula>
    </cfRule>
  </conditionalFormatting>
  <conditionalFormatting sqref="H39 K39">
    <cfRule type="expression" dxfId="251" priority="186">
      <formula>ISNUMBER(H39)=FALSE</formula>
    </cfRule>
  </conditionalFormatting>
  <conditionalFormatting sqref="F39:K39">
    <cfRule type="containsBlanks" dxfId="250" priority="183">
      <formula>LEN(TRIM(F39))=0</formula>
    </cfRule>
  </conditionalFormatting>
  <conditionalFormatting sqref="B39:C39">
    <cfRule type="containsBlanks" dxfId="249" priority="184">
      <formula>LEN(TRIM(B39))=0</formula>
    </cfRule>
  </conditionalFormatting>
  <conditionalFormatting sqref="K39">
    <cfRule type="cellIs" dxfId="248" priority="182" operator="lessThan">
      <formula>0</formula>
    </cfRule>
    <cfRule type="cellIs" dxfId="247" priority="187" operator="equal">
      <formula>0</formula>
    </cfRule>
  </conditionalFormatting>
  <conditionalFormatting sqref="H39">
    <cfRule type="cellIs" dxfId="246" priority="185" operator="lessThanOrEqual">
      <formula>0</formula>
    </cfRule>
  </conditionalFormatting>
  <conditionalFormatting sqref="M39">
    <cfRule type="expression" dxfId="245" priority="179">
      <formula>AND(M39=0,L39&lt;&gt;"")</formula>
    </cfRule>
  </conditionalFormatting>
  <conditionalFormatting sqref="L39">
    <cfRule type="expression" dxfId="244" priority="180">
      <formula>AND(L39="",M39&gt;0)</formula>
    </cfRule>
  </conditionalFormatting>
  <conditionalFormatting sqref="L39:M39">
    <cfRule type="cellIs" dxfId="243" priority="181" operator="equal">
      <formula>0</formula>
    </cfRule>
  </conditionalFormatting>
  <conditionalFormatting sqref="R39">
    <cfRule type="containsText" dxfId="242" priority="178" operator="containsText" text="Error">
      <formula>NOT(ISERROR(SEARCH("Error",R39)))</formula>
    </cfRule>
  </conditionalFormatting>
  <conditionalFormatting sqref="N39">
    <cfRule type="expression" dxfId="241" priority="177">
      <formula>ISNUMBER(N39)=FALSE</formula>
    </cfRule>
  </conditionalFormatting>
  <conditionalFormatting sqref="H40 K40">
    <cfRule type="expression" dxfId="240" priority="175">
      <formula>ISNUMBER(H40)=FALSE</formula>
    </cfRule>
  </conditionalFormatting>
  <conditionalFormatting sqref="F40:K40">
    <cfRule type="containsBlanks" dxfId="239" priority="172">
      <formula>LEN(TRIM(F40))=0</formula>
    </cfRule>
  </conditionalFormatting>
  <conditionalFormatting sqref="B40:C40">
    <cfRule type="containsBlanks" dxfId="238" priority="173">
      <formula>LEN(TRIM(B40))=0</formula>
    </cfRule>
  </conditionalFormatting>
  <conditionalFormatting sqref="K40">
    <cfRule type="cellIs" dxfId="237" priority="171" operator="lessThan">
      <formula>0</formula>
    </cfRule>
    <cfRule type="cellIs" dxfId="236" priority="176" operator="equal">
      <formula>0</formula>
    </cfRule>
  </conditionalFormatting>
  <conditionalFormatting sqref="H40">
    <cfRule type="cellIs" dxfId="235" priority="174" operator="lessThanOrEqual">
      <formula>0</formula>
    </cfRule>
  </conditionalFormatting>
  <conditionalFormatting sqref="M40">
    <cfRule type="expression" dxfId="234" priority="168">
      <formula>AND(M40=0,L40&lt;&gt;"")</formula>
    </cfRule>
  </conditionalFormatting>
  <conditionalFormatting sqref="L40">
    <cfRule type="expression" dxfId="233" priority="169">
      <formula>AND(L40="",M40&gt;0)</formula>
    </cfRule>
  </conditionalFormatting>
  <conditionalFormatting sqref="L40:M40">
    <cfRule type="cellIs" dxfId="232" priority="170" operator="equal">
      <formula>0</formula>
    </cfRule>
  </conditionalFormatting>
  <conditionalFormatting sqref="R40">
    <cfRule type="containsText" dxfId="231" priority="167" operator="containsText" text="Error">
      <formula>NOT(ISERROR(SEARCH("Error",R40)))</formula>
    </cfRule>
  </conditionalFormatting>
  <conditionalFormatting sqref="N40">
    <cfRule type="expression" dxfId="230" priority="166">
      <formula>ISNUMBER(N40)=FALSE</formula>
    </cfRule>
  </conditionalFormatting>
  <conditionalFormatting sqref="H41 K41">
    <cfRule type="expression" dxfId="229" priority="164">
      <formula>ISNUMBER(H41)=FALSE</formula>
    </cfRule>
  </conditionalFormatting>
  <conditionalFormatting sqref="F41:K41">
    <cfRule type="containsBlanks" dxfId="228" priority="161">
      <formula>LEN(TRIM(F41))=0</formula>
    </cfRule>
  </conditionalFormatting>
  <conditionalFormatting sqref="B41:C41">
    <cfRule type="containsBlanks" dxfId="227" priority="162">
      <formula>LEN(TRIM(B41))=0</formula>
    </cfRule>
  </conditionalFormatting>
  <conditionalFormatting sqref="K41">
    <cfRule type="cellIs" dxfId="226" priority="160" operator="lessThan">
      <formula>0</formula>
    </cfRule>
    <cfRule type="cellIs" dxfId="225" priority="165" operator="equal">
      <formula>0</formula>
    </cfRule>
  </conditionalFormatting>
  <conditionalFormatting sqref="H41">
    <cfRule type="cellIs" dxfId="224" priority="163" operator="lessThanOrEqual">
      <formula>0</formula>
    </cfRule>
  </conditionalFormatting>
  <conditionalFormatting sqref="M41">
    <cfRule type="expression" dxfId="223" priority="157">
      <formula>AND(M41=0,L41&lt;&gt;"")</formula>
    </cfRule>
  </conditionalFormatting>
  <conditionalFormatting sqref="L41">
    <cfRule type="expression" dxfId="222" priority="158">
      <formula>AND(L41="",M41&gt;0)</formula>
    </cfRule>
  </conditionalFormatting>
  <conditionalFormatting sqref="L41:M41">
    <cfRule type="cellIs" dxfId="221" priority="159" operator="equal">
      <formula>0</formula>
    </cfRule>
  </conditionalFormatting>
  <conditionalFormatting sqref="R41">
    <cfRule type="containsText" dxfId="220" priority="156" operator="containsText" text="Error">
      <formula>NOT(ISERROR(SEARCH("Error",R41)))</formula>
    </cfRule>
  </conditionalFormatting>
  <conditionalFormatting sqref="N41">
    <cfRule type="expression" dxfId="219" priority="155">
      <formula>ISNUMBER(N41)=FALSE</formula>
    </cfRule>
  </conditionalFormatting>
  <conditionalFormatting sqref="H42 K42">
    <cfRule type="expression" dxfId="218" priority="153">
      <formula>ISNUMBER(H42)=FALSE</formula>
    </cfRule>
  </conditionalFormatting>
  <conditionalFormatting sqref="F42:K42">
    <cfRule type="containsBlanks" dxfId="217" priority="150">
      <formula>LEN(TRIM(F42))=0</formula>
    </cfRule>
  </conditionalFormatting>
  <conditionalFormatting sqref="B42:C42">
    <cfRule type="containsBlanks" dxfId="216" priority="151">
      <formula>LEN(TRIM(B42))=0</formula>
    </cfRule>
  </conditionalFormatting>
  <conditionalFormatting sqref="K42">
    <cfRule type="cellIs" dxfId="215" priority="149" operator="lessThan">
      <formula>0</formula>
    </cfRule>
    <cfRule type="cellIs" dxfId="214" priority="154" operator="equal">
      <formula>0</formula>
    </cfRule>
  </conditionalFormatting>
  <conditionalFormatting sqref="H42">
    <cfRule type="cellIs" dxfId="213" priority="152" operator="lessThanOrEqual">
      <formula>0</formula>
    </cfRule>
  </conditionalFormatting>
  <conditionalFormatting sqref="M42">
    <cfRule type="expression" dxfId="212" priority="146">
      <formula>AND(M42=0,L42&lt;&gt;"")</formula>
    </cfRule>
  </conditionalFormatting>
  <conditionalFormatting sqref="L42">
    <cfRule type="expression" dxfId="211" priority="147">
      <formula>AND(L42="",M42&gt;0)</formula>
    </cfRule>
  </conditionalFormatting>
  <conditionalFormatting sqref="L42:M42">
    <cfRule type="cellIs" dxfId="210" priority="148" operator="equal">
      <formula>0</formula>
    </cfRule>
  </conditionalFormatting>
  <conditionalFormatting sqref="R42">
    <cfRule type="containsText" dxfId="209" priority="145" operator="containsText" text="Error">
      <formula>NOT(ISERROR(SEARCH("Error",R42)))</formula>
    </cfRule>
  </conditionalFormatting>
  <conditionalFormatting sqref="N42">
    <cfRule type="expression" dxfId="208" priority="144">
      <formula>ISNUMBER(N42)=FALSE</formula>
    </cfRule>
  </conditionalFormatting>
  <conditionalFormatting sqref="H43 K43">
    <cfRule type="expression" dxfId="207" priority="142">
      <formula>ISNUMBER(H43)=FALSE</formula>
    </cfRule>
  </conditionalFormatting>
  <conditionalFormatting sqref="F43:K43">
    <cfRule type="containsBlanks" dxfId="206" priority="139">
      <formula>LEN(TRIM(F43))=0</formula>
    </cfRule>
  </conditionalFormatting>
  <conditionalFormatting sqref="B43:C43">
    <cfRule type="containsBlanks" dxfId="205" priority="140">
      <formula>LEN(TRIM(B43))=0</formula>
    </cfRule>
  </conditionalFormatting>
  <conditionalFormatting sqref="K43">
    <cfRule type="cellIs" dxfId="204" priority="138" operator="lessThan">
      <formula>0</formula>
    </cfRule>
    <cfRule type="cellIs" dxfId="203" priority="143" operator="equal">
      <formula>0</formula>
    </cfRule>
  </conditionalFormatting>
  <conditionalFormatting sqref="H43">
    <cfRule type="cellIs" dxfId="202" priority="141" operator="lessThanOrEqual">
      <formula>0</formula>
    </cfRule>
  </conditionalFormatting>
  <conditionalFormatting sqref="M43">
    <cfRule type="expression" dxfId="201" priority="135">
      <formula>AND(M43=0,L43&lt;&gt;"")</formula>
    </cfRule>
  </conditionalFormatting>
  <conditionalFormatting sqref="L43">
    <cfRule type="expression" dxfId="200" priority="136">
      <formula>AND(L43="",M43&gt;0)</formula>
    </cfRule>
  </conditionalFormatting>
  <conditionalFormatting sqref="L43:M43">
    <cfRule type="cellIs" dxfId="199" priority="137" operator="equal">
      <formula>0</formula>
    </cfRule>
  </conditionalFormatting>
  <conditionalFormatting sqref="R43">
    <cfRule type="containsText" dxfId="198" priority="134" operator="containsText" text="Error">
      <formula>NOT(ISERROR(SEARCH("Error",R43)))</formula>
    </cfRule>
  </conditionalFormatting>
  <conditionalFormatting sqref="N43">
    <cfRule type="expression" dxfId="197" priority="133">
      <formula>ISNUMBER(N43)=FALSE</formula>
    </cfRule>
  </conditionalFormatting>
  <conditionalFormatting sqref="H44 K44">
    <cfRule type="expression" dxfId="196" priority="131">
      <formula>ISNUMBER(H44)=FALSE</formula>
    </cfRule>
  </conditionalFormatting>
  <conditionalFormatting sqref="F44:K44">
    <cfRule type="containsBlanks" dxfId="195" priority="128">
      <formula>LEN(TRIM(F44))=0</formula>
    </cfRule>
  </conditionalFormatting>
  <conditionalFormatting sqref="B44:C44">
    <cfRule type="containsBlanks" dxfId="194" priority="129">
      <formula>LEN(TRIM(B44))=0</formula>
    </cfRule>
  </conditionalFormatting>
  <conditionalFormatting sqref="K44">
    <cfRule type="cellIs" dxfId="193" priority="127" operator="lessThan">
      <formula>0</formula>
    </cfRule>
    <cfRule type="cellIs" dxfId="192" priority="132" operator="equal">
      <formula>0</formula>
    </cfRule>
  </conditionalFormatting>
  <conditionalFormatting sqref="H44">
    <cfRule type="cellIs" dxfId="191" priority="130" operator="lessThanOrEqual">
      <formula>0</formula>
    </cfRule>
  </conditionalFormatting>
  <conditionalFormatting sqref="M44">
    <cfRule type="expression" dxfId="190" priority="124">
      <formula>AND(M44=0,L44&lt;&gt;"")</formula>
    </cfRule>
  </conditionalFormatting>
  <conditionalFormatting sqref="L44">
    <cfRule type="expression" dxfId="189" priority="125">
      <formula>AND(L44="",M44&gt;0)</formula>
    </cfRule>
  </conditionalFormatting>
  <conditionalFormatting sqref="L44:M44">
    <cfRule type="cellIs" dxfId="188" priority="126" operator="equal">
      <formula>0</formula>
    </cfRule>
  </conditionalFormatting>
  <conditionalFormatting sqref="R44">
    <cfRule type="containsText" dxfId="187" priority="123" operator="containsText" text="Error">
      <formula>NOT(ISERROR(SEARCH("Error",R44)))</formula>
    </cfRule>
  </conditionalFormatting>
  <conditionalFormatting sqref="N44">
    <cfRule type="expression" dxfId="186" priority="122">
      <formula>ISNUMBER(N44)=FALSE</formula>
    </cfRule>
  </conditionalFormatting>
  <conditionalFormatting sqref="H45 K45">
    <cfRule type="expression" dxfId="185" priority="120">
      <formula>ISNUMBER(H45)=FALSE</formula>
    </cfRule>
  </conditionalFormatting>
  <conditionalFormatting sqref="F45:K45">
    <cfRule type="containsBlanks" dxfId="184" priority="117">
      <formula>LEN(TRIM(F45))=0</formula>
    </cfRule>
  </conditionalFormatting>
  <conditionalFormatting sqref="B45:C45">
    <cfRule type="containsBlanks" dxfId="183" priority="118">
      <formula>LEN(TRIM(B45))=0</formula>
    </cfRule>
  </conditionalFormatting>
  <conditionalFormatting sqref="K45">
    <cfRule type="cellIs" dxfId="182" priority="116" operator="lessThan">
      <formula>0</formula>
    </cfRule>
    <cfRule type="cellIs" dxfId="181" priority="121" operator="equal">
      <formula>0</formula>
    </cfRule>
  </conditionalFormatting>
  <conditionalFormatting sqref="H45">
    <cfRule type="cellIs" dxfId="180" priority="119" operator="lessThanOrEqual">
      <formula>0</formula>
    </cfRule>
  </conditionalFormatting>
  <conditionalFormatting sqref="M45">
    <cfRule type="expression" dxfId="179" priority="113">
      <formula>AND(M45=0,L45&lt;&gt;"")</formula>
    </cfRule>
  </conditionalFormatting>
  <conditionalFormatting sqref="L45">
    <cfRule type="expression" dxfId="178" priority="114">
      <formula>AND(L45="",M45&gt;0)</formula>
    </cfRule>
  </conditionalFormatting>
  <conditionalFormatting sqref="L45:M45">
    <cfRule type="cellIs" dxfId="177" priority="115" operator="equal">
      <formula>0</formula>
    </cfRule>
  </conditionalFormatting>
  <conditionalFormatting sqref="R45">
    <cfRule type="containsText" dxfId="176" priority="112" operator="containsText" text="Error">
      <formula>NOT(ISERROR(SEARCH("Error",R45)))</formula>
    </cfRule>
  </conditionalFormatting>
  <conditionalFormatting sqref="N45">
    <cfRule type="expression" dxfId="175" priority="111">
      <formula>ISNUMBER(N45)=FALSE</formula>
    </cfRule>
  </conditionalFormatting>
  <conditionalFormatting sqref="H46 K46">
    <cfRule type="expression" dxfId="174" priority="109">
      <formula>ISNUMBER(H46)=FALSE</formula>
    </cfRule>
  </conditionalFormatting>
  <conditionalFormatting sqref="F46:K46">
    <cfRule type="containsBlanks" dxfId="173" priority="106">
      <formula>LEN(TRIM(F46))=0</formula>
    </cfRule>
  </conditionalFormatting>
  <conditionalFormatting sqref="B46:C46">
    <cfRule type="containsBlanks" dxfId="172" priority="107">
      <formula>LEN(TRIM(B46))=0</formula>
    </cfRule>
  </conditionalFormatting>
  <conditionalFormatting sqref="K46">
    <cfRule type="cellIs" dxfId="171" priority="105" operator="lessThan">
      <formula>0</formula>
    </cfRule>
    <cfRule type="cellIs" dxfId="170" priority="110" operator="equal">
      <formula>0</formula>
    </cfRule>
  </conditionalFormatting>
  <conditionalFormatting sqref="H46">
    <cfRule type="cellIs" dxfId="169" priority="108" operator="lessThanOrEqual">
      <formula>0</formula>
    </cfRule>
  </conditionalFormatting>
  <conditionalFormatting sqref="M46">
    <cfRule type="expression" dxfId="168" priority="102">
      <formula>AND(M46=0,L46&lt;&gt;"")</formula>
    </cfRule>
  </conditionalFormatting>
  <conditionalFormatting sqref="L46">
    <cfRule type="expression" dxfId="167" priority="103">
      <formula>AND(L46="",M46&gt;0)</formula>
    </cfRule>
  </conditionalFormatting>
  <conditionalFormatting sqref="L46:M46">
    <cfRule type="cellIs" dxfId="166" priority="104" operator="equal">
      <formula>0</formula>
    </cfRule>
  </conditionalFormatting>
  <conditionalFormatting sqref="R46">
    <cfRule type="containsText" dxfId="165" priority="101" operator="containsText" text="Error">
      <formula>NOT(ISERROR(SEARCH("Error",R46)))</formula>
    </cfRule>
  </conditionalFormatting>
  <conditionalFormatting sqref="N46">
    <cfRule type="expression" dxfId="164" priority="100">
      <formula>ISNUMBER(N46)=FALSE</formula>
    </cfRule>
  </conditionalFormatting>
  <conditionalFormatting sqref="H47 K47">
    <cfRule type="expression" dxfId="163" priority="98">
      <formula>ISNUMBER(H47)=FALSE</formula>
    </cfRule>
  </conditionalFormatting>
  <conditionalFormatting sqref="F47:K47">
    <cfRule type="containsBlanks" dxfId="162" priority="95">
      <formula>LEN(TRIM(F47))=0</formula>
    </cfRule>
  </conditionalFormatting>
  <conditionalFormatting sqref="B47:C47">
    <cfRule type="containsBlanks" dxfId="161" priority="96">
      <formula>LEN(TRIM(B47))=0</formula>
    </cfRule>
  </conditionalFormatting>
  <conditionalFormatting sqref="K47">
    <cfRule type="cellIs" dxfId="160" priority="94" operator="lessThan">
      <formula>0</formula>
    </cfRule>
    <cfRule type="cellIs" dxfId="159" priority="99" operator="equal">
      <formula>0</formula>
    </cfRule>
  </conditionalFormatting>
  <conditionalFormatting sqref="H47">
    <cfRule type="cellIs" dxfId="158" priority="97" operator="lessThanOrEqual">
      <formula>0</formula>
    </cfRule>
  </conditionalFormatting>
  <conditionalFormatting sqref="M47">
    <cfRule type="expression" dxfId="157" priority="91">
      <formula>AND(M47=0,L47&lt;&gt;"")</formula>
    </cfRule>
  </conditionalFormatting>
  <conditionalFormatting sqref="L47">
    <cfRule type="expression" dxfId="156" priority="92">
      <formula>AND(L47="",M47&gt;0)</formula>
    </cfRule>
  </conditionalFormatting>
  <conditionalFormatting sqref="L47:M47">
    <cfRule type="cellIs" dxfId="155" priority="93" operator="equal">
      <formula>0</formula>
    </cfRule>
  </conditionalFormatting>
  <conditionalFormatting sqref="R47">
    <cfRule type="containsText" dxfId="154" priority="90" operator="containsText" text="Error">
      <formula>NOT(ISERROR(SEARCH("Error",R47)))</formula>
    </cfRule>
  </conditionalFormatting>
  <conditionalFormatting sqref="N47">
    <cfRule type="expression" dxfId="153" priority="89">
      <formula>ISNUMBER(N47)=FALSE</formula>
    </cfRule>
  </conditionalFormatting>
  <conditionalFormatting sqref="H48 K48">
    <cfRule type="expression" dxfId="152" priority="87">
      <formula>ISNUMBER(H48)=FALSE</formula>
    </cfRule>
  </conditionalFormatting>
  <conditionalFormatting sqref="F48:K48">
    <cfRule type="containsBlanks" dxfId="151" priority="84">
      <formula>LEN(TRIM(F48))=0</formula>
    </cfRule>
  </conditionalFormatting>
  <conditionalFormatting sqref="B48:C48">
    <cfRule type="containsBlanks" dxfId="150" priority="85">
      <formula>LEN(TRIM(B48))=0</formula>
    </cfRule>
  </conditionalFormatting>
  <conditionalFormatting sqref="K48">
    <cfRule type="cellIs" dxfId="149" priority="83" operator="lessThan">
      <formula>0</formula>
    </cfRule>
    <cfRule type="cellIs" dxfId="148" priority="88" operator="equal">
      <formula>0</formula>
    </cfRule>
  </conditionalFormatting>
  <conditionalFormatting sqref="H48">
    <cfRule type="cellIs" dxfId="147" priority="86" operator="lessThanOrEqual">
      <formula>0</formula>
    </cfRule>
  </conditionalFormatting>
  <conditionalFormatting sqref="M48">
    <cfRule type="expression" dxfId="146" priority="80">
      <formula>AND(M48=0,L48&lt;&gt;"")</formula>
    </cfRule>
  </conditionalFormatting>
  <conditionalFormatting sqref="L48">
    <cfRule type="expression" dxfId="145" priority="81">
      <formula>AND(L48="",M48&gt;0)</formula>
    </cfRule>
  </conditionalFormatting>
  <conditionalFormatting sqref="L48:M48">
    <cfRule type="cellIs" dxfId="144" priority="82" operator="equal">
      <formula>0</formula>
    </cfRule>
  </conditionalFormatting>
  <conditionalFormatting sqref="R48">
    <cfRule type="containsText" dxfId="143" priority="79" operator="containsText" text="Error">
      <formula>NOT(ISERROR(SEARCH("Error",R48)))</formula>
    </cfRule>
  </conditionalFormatting>
  <conditionalFormatting sqref="N48">
    <cfRule type="expression" dxfId="142" priority="78">
      <formula>ISNUMBER(N48)=FALSE</formula>
    </cfRule>
  </conditionalFormatting>
  <conditionalFormatting sqref="H49 K49">
    <cfRule type="expression" dxfId="141" priority="76">
      <formula>ISNUMBER(H49)=FALSE</formula>
    </cfRule>
  </conditionalFormatting>
  <conditionalFormatting sqref="F49:K49">
    <cfRule type="containsBlanks" dxfId="140" priority="73">
      <formula>LEN(TRIM(F49))=0</formula>
    </cfRule>
  </conditionalFormatting>
  <conditionalFormatting sqref="B49:C49">
    <cfRule type="containsBlanks" dxfId="139" priority="74">
      <formula>LEN(TRIM(B49))=0</formula>
    </cfRule>
  </conditionalFormatting>
  <conditionalFormatting sqref="K49">
    <cfRule type="cellIs" dxfId="138" priority="72" operator="lessThan">
      <formula>0</formula>
    </cfRule>
    <cfRule type="cellIs" dxfId="137" priority="77" operator="equal">
      <formula>0</formula>
    </cfRule>
  </conditionalFormatting>
  <conditionalFormatting sqref="H49">
    <cfRule type="cellIs" dxfId="136" priority="75" operator="lessThanOrEqual">
      <formula>0</formula>
    </cfRule>
  </conditionalFormatting>
  <conditionalFormatting sqref="M49">
    <cfRule type="expression" dxfId="135" priority="69">
      <formula>AND(M49=0,L49&lt;&gt;"")</formula>
    </cfRule>
  </conditionalFormatting>
  <conditionalFormatting sqref="L49">
    <cfRule type="expression" dxfId="134" priority="70">
      <formula>AND(L49="",M49&gt;0)</formula>
    </cfRule>
  </conditionalFormatting>
  <conditionalFormatting sqref="L49:M49">
    <cfRule type="cellIs" dxfId="133" priority="71" operator="equal">
      <formula>0</formula>
    </cfRule>
  </conditionalFormatting>
  <conditionalFormatting sqref="R49">
    <cfRule type="containsText" dxfId="132" priority="68" operator="containsText" text="Error">
      <formula>NOT(ISERROR(SEARCH("Error",R49)))</formula>
    </cfRule>
  </conditionalFormatting>
  <conditionalFormatting sqref="N49">
    <cfRule type="expression" dxfId="131" priority="67">
      <formula>ISNUMBER(N49)=FALSE</formula>
    </cfRule>
  </conditionalFormatting>
  <conditionalFormatting sqref="H50 K50">
    <cfRule type="expression" dxfId="130" priority="65">
      <formula>ISNUMBER(H50)=FALSE</formula>
    </cfRule>
  </conditionalFormatting>
  <conditionalFormatting sqref="F50:K50">
    <cfRule type="containsBlanks" dxfId="129" priority="62">
      <formula>LEN(TRIM(F50))=0</formula>
    </cfRule>
  </conditionalFormatting>
  <conditionalFormatting sqref="B50:C50">
    <cfRule type="containsBlanks" dxfId="128" priority="63">
      <formula>LEN(TRIM(B50))=0</formula>
    </cfRule>
  </conditionalFormatting>
  <conditionalFormatting sqref="K50">
    <cfRule type="cellIs" dxfId="127" priority="61" operator="lessThan">
      <formula>0</formula>
    </cfRule>
    <cfRule type="cellIs" dxfId="126" priority="66" operator="equal">
      <formula>0</formula>
    </cfRule>
  </conditionalFormatting>
  <conditionalFormatting sqref="H50">
    <cfRule type="cellIs" dxfId="125" priority="64" operator="lessThanOrEqual">
      <formula>0</formula>
    </cfRule>
  </conditionalFormatting>
  <conditionalFormatting sqref="M50">
    <cfRule type="expression" dxfId="124" priority="58">
      <formula>AND(M50=0,L50&lt;&gt;"")</formula>
    </cfRule>
  </conditionalFormatting>
  <conditionalFormatting sqref="L50">
    <cfRule type="expression" dxfId="123" priority="59">
      <formula>AND(L50="",M50&gt;0)</formula>
    </cfRule>
  </conditionalFormatting>
  <conditionalFormatting sqref="L50:M50">
    <cfRule type="cellIs" dxfId="122" priority="60" operator="equal">
      <formula>0</formula>
    </cfRule>
  </conditionalFormatting>
  <conditionalFormatting sqref="R50">
    <cfRule type="containsText" dxfId="121" priority="57" operator="containsText" text="Error">
      <formula>NOT(ISERROR(SEARCH("Error",R50)))</formula>
    </cfRule>
  </conditionalFormatting>
  <conditionalFormatting sqref="N50">
    <cfRule type="expression" dxfId="120" priority="56">
      <formula>ISNUMBER(N50)=FALSE</formula>
    </cfRule>
  </conditionalFormatting>
  <conditionalFormatting sqref="H51 K51">
    <cfRule type="expression" dxfId="119" priority="54">
      <formula>ISNUMBER(H51)=FALSE</formula>
    </cfRule>
  </conditionalFormatting>
  <conditionalFormatting sqref="F51:K51">
    <cfRule type="containsBlanks" dxfId="118" priority="51">
      <formula>LEN(TRIM(F51))=0</formula>
    </cfRule>
  </conditionalFormatting>
  <conditionalFormatting sqref="B51:C51">
    <cfRule type="containsBlanks" dxfId="117" priority="52">
      <formula>LEN(TRIM(B51))=0</formula>
    </cfRule>
  </conditionalFormatting>
  <conditionalFormatting sqref="K51">
    <cfRule type="cellIs" dxfId="116" priority="50" operator="lessThan">
      <formula>0</formula>
    </cfRule>
    <cfRule type="cellIs" dxfId="115" priority="55" operator="equal">
      <formula>0</formula>
    </cfRule>
  </conditionalFormatting>
  <conditionalFormatting sqref="H51">
    <cfRule type="cellIs" dxfId="114" priority="53" operator="lessThanOrEqual">
      <formula>0</formula>
    </cfRule>
  </conditionalFormatting>
  <conditionalFormatting sqref="M51">
    <cfRule type="expression" dxfId="113" priority="47">
      <formula>AND(M51=0,L51&lt;&gt;"")</formula>
    </cfRule>
  </conditionalFormatting>
  <conditionalFormatting sqref="L51">
    <cfRule type="expression" dxfId="112" priority="48">
      <formula>AND(L51="",M51&gt;0)</formula>
    </cfRule>
  </conditionalFormatting>
  <conditionalFormatting sqref="L51:M51">
    <cfRule type="cellIs" dxfId="111" priority="49" operator="equal">
      <formula>0</formula>
    </cfRule>
  </conditionalFormatting>
  <conditionalFormatting sqref="R51">
    <cfRule type="containsText" dxfId="110" priority="46" operator="containsText" text="Error">
      <formula>NOT(ISERROR(SEARCH("Error",R51)))</formula>
    </cfRule>
  </conditionalFormatting>
  <conditionalFormatting sqref="N51">
    <cfRule type="expression" dxfId="109" priority="45">
      <formula>ISNUMBER(N51)=FALSE</formula>
    </cfRule>
  </conditionalFormatting>
  <conditionalFormatting sqref="H52 K52">
    <cfRule type="expression" dxfId="108" priority="43">
      <formula>ISNUMBER(H52)=FALSE</formula>
    </cfRule>
  </conditionalFormatting>
  <conditionalFormatting sqref="F52:K52">
    <cfRule type="containsBlanks" dxfId="107" priority="40">
      <formula>LEN(TRIM(F52))=0</formula>
    </cfRule>
  </conditionalFormatting>
  <conditionalFormatting sqref="B52:C52">
    <cfRule type="containsBlanks" dxfId="106" priority="41">
      <formula>LEN(TRIM(B52))=0</formula>
    </cfRule>
  </conditionalFormatting>
  <conditionalFormatting sqref="K52">
    <cfRule type="cellIs" dxfId="105" priority="39" operator="lessThan">
      <formula>0</formula>
    </cfRule>
    <cfRule type="cellIs" dxfId="104" priority="44" operator="equal">
      <formula>0</formula>
    </cfRule>
  </conditionalFormatting>
  <conditionalFormatting sqref="H52">
    <cfRule type="cellIs" dxfId="103" priority="42" operator="lessThanOrEqual">
      <formula>0</formula>
    </cfRule>
  </conditionalFormatting>
  <conditionalFormatting sqref="M52">
    <cfRule type="expression" dxfId="102" priority="36">
      <formula>AND(M52=0,L52&lt;&gt;"")</formula>
    </cfRule>
  </conditionalFormatting>
  <conditionalFormatting sqref="L52">
    <cfRule type="expression" dxfId="101" priority="37">
      <formula>AND(L52="",M52&gt;0)</formula>
    </cfRule>
  </conditionalFormatting>
  <conditionalFormatting sqref="L52:M52">
    <cfRule type="cellIs" dxfId="100" priority="38" operator="equal">
      <formula>0</formula>
    </cfRule>
  </conditionalFormatting>
  <conditionalFormatting sqref="R52">
    <cfRule type="containsText" dxfId="99" priority="35" operator="containsText" text="Error">
      <formula>NOT(ISERROR(SEARCH("Error",R52)))</formula>
    </cfRule>
  </conditionalFormatting>
  <conditionalFormatting sqref="N52">
    <cfRule type="expression" dxfId="98" priority="34">
      <formula>ISNUMBER(N52)=FALSE</formula>
    </cfRule>
  </conditionalFormatting>
  <conditionalFormatting sqref="H53 K53">
    <cfRule type="expression" dxfId="97" priority="32">
      <formula>ISNUMBER(H53)=FALSE</formula>
    </cfRule>
  </conditionalFormatting>
  <conditionalFormatting sqref="F53:K53">
    <cfRule type="containsBlanks" dxfId="96" priority="29">
      <formula>LEN(TRIM(F53))=0</formula>
    </cfRule>
  </conditionalFormatting>
  <conditionalFormatting sqref="B53:C53">
    <cfRule type="containsBlanks" dxfId="95" priority="30">
      <formula>LEN(TRIM(B53))=0</formula>
    </cfRule>
  </conditionalFormatting>
  <conditionalFormatting sqref="K53">
    <cfRule type="cellIs" dxfId="94" priority="28" operator="lessThan">
      <formula>0</formula>
    </cfRule>
    <cfRule type="cellIs" dxfId="93" priority="33" operator="equal">
      <formula>0</formula>
    </cfRule>
  </conditionalFormatting>
  <conditionalFormatting sqref="H53">
    <cfRule type="cellIs" dxfId="92" priority="31" operator="lessThanOrEqual">
      <formula>0</formula>
    </cfRule>
  </conditionalFormatting>
  <conditionalFormatting sqref="M53">
    <cfRule type="expression" dxfId="91" priority="25">
      <formula>AND(M53=0,L53&lt;&gt;"")</formula>
    </cfRule>
  </conditionalFormatting>
  <conditionalFormatting sqref="L53">
    <cfRule type="expression" dxfId="90" priority="26">
      <formula>AND(L53="",M53&gt;0)</formula>
    </cfRule>
  </conditionalFormatting>
  <conditionalFormatting sqref="L53:M53">
    <cfRule type="cellIs" dxfId="89" priority="27" operator="equal">
      <formula>0</formula>
    </cfRule>
  </conditionalFormatting>
  <conditionalFormatting sqref="R53">
    <cfRule type="containsText" dxfId="88" priority="24" operator="containsText" text="Error">
      <formula>NOT(ISERROR(SEARCH("Error",R53)))</formula>
    </cfRule>
  </conditionalFormatting>
  <conditionalFormatting sqref="N53">
    <cfRule type="expression" dxfId="87" priority="23">
      <formula>ISNUMBER(N53)=FALSE</formula>
    </cfRule>
  </conditionalFormatting>
  <conditionalFormatting sqref="H54 K54">
    <cfRule type="expression" dxfId="86" priority="21">
      <formula>ISNUMBER(H54)=FALSE</formula>
    </cfRule>
  </conditionalFormatting>
  <conditionalFormatting sqref="F54:K54">
    <cfRule type="containsBlanks" dxfId="85" priority="18">
      <formula>LEN(TRIM(F54))=0</formula>
    </cfRule>
  </conditionalFormatting>
  <conditionalFormatting sqref="B54:C54">
    <cfRule type="containsBlanks" dxfId="84" priority="19">
      <formula>LEN(TRIM(B54))=0</formula>
    </cfRule>
  </conditionalFormatting>
  <conditionalFormatting sqref="K54">
    <cfRule type="cellIs" dxfId="83" priority="17" operator="lessThan">
      <formula>0</formula>
    </cfRule>
    <cfRule type="cellIs" dxfId="82" priority="22" operator="equal">
      <formula>0</formula>
    </cfRule>
  </conditionalFormatting>
  <conditionalFormatting sqref="H54">
    <cfRule type="cellIs" dxfId="81" priority="20" operator="lessThanOrEqual">
      <formula>0</formula>
    </cfRule>
  </conditionalFormatting>
  <conditionalFormatting sqref="M54">
    <cfRule type="expression" dxfId="80" priority="14">
      <formula>AND(M54=0,L54&lt;&gt;"")</formula>
    </cfRule>
  </conditionalFormatting>
  <conditionalFormatting sqref="L54">
    <cfRule type="expression" dxfId="79" priority="15">
      <formula>AND(L54="",M54&gt;0)</formula>
    </cfRule>
  </conditionalFormatting>
  <conditionalFormatting sqref="L54:M54">
    <cfRule type="cellIs" dxfId="78" priority="16" operator="equal">
      <formula>0</formula>
    </cfRule>
  </conditionalFormatting>
  <conditionalFormatting sqref="R54">
    <cfRule type="containsText" dxfId="77" priority="13" operator="containsText" text="Error">
      <formula>NOT(ISERROR(SEARCH("Error",R54)))</formula>
    </cfRule>
  </conditionalFormatting>
  <conditionalFormatting sqref="N54">
    <cfRule type="expression" dxfId="76" priority="12">
      <formula>ISNUMBER(N54)=FALSE</formula>
    </cfRule>
  </conditionalFormatting>
  <conditionalFormatting sqref="H55 K55">
    <cfRule type="expression" dxfId="10" priority="10">
      <formula>ISNUMBER(H55)=FALSE</formula>
    </cfRule>
  </conditionalFormatting>
  <conditionalFormatting sqref="F55:K55">
    <cfRule type="containsBlanks" dxfId="9" priority="7">
      <formula>LEN(TRIM(F55))=0</formula>
    </cfRule>
  </conditionalFormatting>
  <conditionalFormatting sqref="B55:C55">
    <cfRule type="containsBlanks" dxfId="8" priority="8">
      <formula>LEN(TRIM(B55))=0</formula>
    </cfRule>
  </conditionalFormatting>
  <conditionalFormatting sqref="K55">
    <cfRule type="cellIs" dxfId="7" priority="6" operator="lessThan">
      <formula>0</formula>
    </cfRule>
    <cfRule type="cellIs" dxfId="6" priority="11" operator="equal">
      <formula>0</formula>
    </cfRule>
  </conditionalFormatting>
  <conditionalFormatting sqref="H55">
    <cfRule type="cellIs" dxfId="5" priority="9" operator="lessThanOrEqual">
      <formula>0</formula>
    </cfRule>
  </conditionalFormatting>
  <conditionalFormatting sqref="M55">
    <cfRule type="expression" dxfId="4" priority="3">
      <formula>AND(M55=0,L55&lt;&gt;"")</formula>
    </cfRule>
  </conditionalFormatting>
  <conditionalFormatting sqref="L55">
    <cfRule type="expression" dxfId="3" priority="4">
      <formula>AND(L55="",M55&gt;0)</formula>
    </cfRule>
  </conditionalFormatting>
  <conditionalFormatting sqref="L55:M55">
    <cfRule type="cellIs" dxfId="2" priority="5" operator="equal">
      <formula>0</formula>
    </cfRule>
  </conditionalFormatting>
  <conditionalFormatting sqref="R55">
    <cfRule type="containsText" dxfId="1" priority="2" operator="containsText" text="Error">
      <formula>NOT(ISERROR(SEARCH("Error",R55)))</formula>
    </cfRule>
  </conditionalFormatting>
  <conditionalFormatting sqref="N55">
    <cfRule type="expression" dxfId="0" priority="1">
      <formula>ISNUMBER(N55)=FALSE</formula>
    </cfRule>
  </conditionalFormatting>
  <dataValidations xWindow="1423" yWindow="461" count="11">
    <dataValidation allowBlank="1" showInputMessage="1" errorTitle="Warning: Max Ceilings exceeded" error="Please be aware that this exceed the &quot;Ceilings&quot; for the maximum amounts for staff cost by country" sqref="N13:O55" xr:uid="{00000000-0002-0000-0300-000000000000}"/>
    <dataValidation allowBlank="1" showInputMessage="1" showErrorMessage="1" error="Please encode City of Destination" prompt="Please encode City of Destination" sqref="I13:I55" xr:uid="{00000000-0002-0000-0300-000001000000}"/>
    <dataValidation type="whole" allowBlank="1" showInputMessage="1" showErrorMessage="1" error="Format error (whole number only)" prompt="Please encode number (whole number only)" sqref="H13:H55" xr:uid="{00000000-0002-0000-0300-000002000000}">
      <formula1>0</formula1>
      <formula2>50000</formula2>
    </dataValidation>
    <dataValidation allowBlank="1" showInputMessage="1" showErrorMessage="1" error="Please encode City of Departure" prompt="Please encode City of Departure" sqref="F13:F5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55" xr:uid="{00000000-0002-0000-0300-000004000000}">
      <formula1>0</formula1>
      <formula2>90</formula2>
    </dataValidation>
    <dataValidation type="list" allowBlank="1" showInputMessage="1" showErrorMessage="1" error="Click arrow to select Category" prompt="Click arrow to select Category" sqref="G13:G55" xr:uid="{00000000-0002-0000-0300-000005000000}">
      <formula1>Category2</formula1>
    </dataValidation>
    <dataValidation type="list" allowBlank="1" showInputMessage="1" showErrorMessage="1" error="Click arrow to select Work Package" prompt="Click arrow to select Work Package" sqref="B13:B55" xr:uid="{00000000-0002-0000-0300-000006000000}">
      <formula1>WorkPackage</formula1>
    </dataValidation>
    <dataValidation type="list" allowBlank="1" showInputMessage="1" showErrorMessage="1" error="Click arrow to select Distance" prompt="Click arrow to select Distance" sqref="J13:J55" xr:uid="{00000000-0002-0000-0300-000007000000}">
      <formula1>TravelBands</formula1>
    </dataValidation>
    <dataValidation type="list" allowBlank="1" showInputMessage="1" showErrorMessage="1" error="Click arrow to select Partner N°" prompt="Click arrow to select Partner N°" sqref="C13:C55" xr:uid="{00000000-0002-0000-0300-000008000000}">
      <formula1>PartnerN°</formula1>
    </dataValidation>
    <dataValidation type="list" allowBlank="1" showInputMessage="1" showErrorMessage="1" errorTitle="Select correct option" error="Please use the drop down menu to select the correct option" sqref="L13:L55" xr:uid="{00000000-0002-0000-0300-000009000000}">
      <formula1>Exceptional_costs</formula1>
    </dataValidation>
    <dataValidation type="decimal" operator="greaterThanOrEqual" allowBlank="1" showInputMessage="1" showErrorMessage="1" errorTitle="Warning: Cost must be number" error="Please enter a numeric value." sqref="M13:M5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B1" zoomScale="70" zoomScaleNormal="70" zoomScaleSheetLayoutView="55" workbookViewId="0">
      <pane ySplit="13" topLeftCell="A14" activePane="bottomLeft" state="frozen"/>
      <selection pane="bottomLeft" activeCell="F16" sqref="F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185</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184</v>
      </c>
      <c r="C4" s="177">
        <f>SUM(H:H)</f>
        <v>210000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162</v>
      </c>
      <c r="C11" s="121" t="s">
        <v>147</v>
      </c>
      <c r="D11" s="121" t="s">
        <v>216</v>
      </c>
      <c r="E11" s="173" t="s">
        <v>217</v>
      </c>
      <c r="F11" s="123" t="s">
        <v>132</v>
      </c>
      <c r="G11" s="172" t="s">
        <v>165</v>
      </c>
      <c r="H11" s="172" t="s">
        <v>164</v>
      </c>
      <c r="I11" s="172" t="s">
        <v>218</v>
      </c>
    </row>
    <row r="12" spans="2:9" ht="23.85" customHeight="1" x14ac:dyDescent="0.35">
      <c r="B12" s="122"/>
      <c r="C12" s="122"/>
      <c r="D12" s="122"/>
      <c r="E12" s="123"/>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173</v>
      </c>
      <c r="C14" s="19" t="s">
        <v>21</v>
      </c>
      <c r="D14" s="42" t="str">
        <f>IFERROR(IF(VLOOKUP(C14,PartnerN°Ref,2,FALSE)=0,"",VLOOKUP(C14,PartnerN°Ref,2,FALSE)),"")</f>
        <v>InterSoft Education</v>
      </c>
      <c r="E14" s="42" t="str">
        <f>IFERROR(IF(OR(VLOOKUP(C14,PartnerN°Ref,4,FALSE)="Country not found",VLOOKUP(C14,PartnerN°Ref,3,FALSE)=0),"",VLOOKUP(C14,PartnerN°Ref,3,FALSE)),"")</f>
        <v>Bosnia and Herzegovina</v>
      </c>
      <c r="F14" s="18" t="s">
        <v>377</v>
      </c>
      <c r="G14" s="35">
        <v>70000</v>
      </c>
      <c r="H14" s="36">
        <f>IF(I14="Error",0,ROUND(G14,2))</f>
        <v>70000</v>
      </c>
      <c r="I14" s="33" t="str">
        <f>IF(OR(COUNTIF(WorkPackage,B14)=0,COUNTIF(PartnerN°,C14)=0,D14="",COUNTIF(CountryEligEquip,E14)=0,F14="",ISNUMBER(G14)=FALSE,IF(ISNUMBER(G14)=TRUE,G14=INT(G14*100)/100=FALSE)),"Error","")</f>
        <v/>
      </c>
    </row>
    <row r="15" spans="2:9" s="34" customFormat="1" x14ac:dyDescent="0.3">
      <c r="B15" s="14" t="s">
        <v>173</v>
      </c>
      <c r="C15" s="19" t="s">
        <v>21</v>
      </c>
      <c r="D15" s="42" t="str">
        <f>IFERROR(IF(VLOOKUP(C15,PartnerN°Ref,2,FALSE)=0,"",VLOOKUP(C15,PartnerN°Ref,2,FALSE)),"")</f>
        <v>InterSoft Education</v>
      </c>
      <c r="E15" s="42" t="str">
        <f>IFERROR(IF(OR(VLOOKUP(C15,PartnerN°Ref,4,FALSE)="Country not found",VLOOKUP(C15,PartnerN°Ref,3,FALSE)=0),"",VLOOKUP(C15,PartnerN°Ref,3,FALSE)),"")</f>
        <v>Bosnia and Herzegovina</v>
      </c>
      <c r="F15" s="18" t="s">
        <v>378</v>
      </c>
      <c r="G15" s="35">
        <v>70000</v>
      </c>
      <c r="H15" s="36">
        <f>IF(I15="Error",0,ROUND(G15,2))</f>
        <v>70000</v>
      </c>
      <c r="I15" s="33" t="str">
        <f>IF(OR(COUNTIF(WorkPackage,B15)=0,COUNTIF(PartnerN°,C15)=0,D15="",COUNTIF(CountryEligEquip,E15)=0,F15="",ISNUMBER(G15)=FALSE,IF(ISNUMBER(G15)=TRUE,G15=INT(G15*100)/100=FALSE)),"Error","")</f>
        <v/>
      </c>
    </row>
    <row r="16" spans="2:9" s="34" customFormat="1" x14ac:dyDescent="0.3">
      <c r="B16" s="14" t="s">
        <v>172</v>
      </c>
      <c r="C16" s="19" t="s">
        <v>21</v>
      </c>
      <c r="D16" s="42" t="str">
        <f>IFERROR(IF(VLOOKUP(C16,PartnerN°Ref,2,FALSE)=0,"",VLOOKUP(C16,PartnerN°Ref,2,FALSE)),"")</f>
        <v>InterSoft Education</v>
      </c>
      <c r="E16" s="42" t="str">
        <f>IFERROR(IF(OR(VLOOKUP(C16,PartnerN°Ref,4,FALSE)="Country not found",VLOOKUP(C16,PartnerN°Ref,3,FALSE)=0),"",VLOOKUP(C16,PartnerN°Ref,3,FALSE)),"")</f>
        <v>Bosnia and Herzegovina</v>
      </c>
      <c r="F16" s="18" t="s">
        <v>393</v>
      </c>
      <c r="G16" s="35">
        <v>70000</v>
      </c>
      <c r="H16" s="36">
        <f>IF(I16="Error",0,ROUND(G16,2))</f>
        <v>70000</v>
      </c>
      <c r="I16" s="33" t="str">
        <f>IF(OR(COUNTIF(WorkPackage,B16)=0,COUNTIF(PartnerN°,C16)=0,D16="",COUNTIF(CountryEligEquip,E16)=0,F16="",ISNUMBER(G16)=FALSE,IF(ISNUMBER(G16)=TRUE,G16=INT(G16*100)/100=FALSE)),"Error","")</f>
        <v/>
      </c>
    </row>
  </sheetData>
  <sheetProtection algorithmName="SHA-512" hashValue="5T2Abg2VrYD16+hOwKd+QlEK6JkhVhVX0cxESjlkCC+hDa3W656mtVfT59XykE+ZlYu67ahKpfnb+1S10Uac6g==" saltValue="94uJIjce+Xl3/Bur3ypP0g=="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75" priority="376" operator="containsText" text="Error">
      <formula>NOT(ISERROR(SEARCH("Error",I13)))</formula>
    </cfRule>
  </conditionalFormatting>
  <conditionalFormatting sqref="D13:E16">
    <cfRule type="containsBlanks" dxfId="74" priority="371">
      <formula>LEN(TRIM(D13))=0</formula>
    </cfRule>
  </conditionalFormatting>
  <conditionalFormatting sqref="E13">
    <cfRule type="expression" dxfId="73" priority="293">
      <formula>COUNTIF(CountryEligEquip,E13)=0</formula>
    </cfRule>
  </conditionalFormatting>
  <conditionalFormatting sqref="E14">
    <cfRule type="expression" dxfId="72" priority="294">
      <formula>COUNTIF(CountryEligEquip,E14)=0</formula>
    </cfRule>
  </conditionalFormatting>
  <conditionalFormatting sqref="G13">
    <cfRule type="cellIs" dxfId="71" priority="22" operator="lessThanOrEqual">
      <formula>0</formula>
    </cfRule>
  </conditionalFormatting>
  <conditionalFormatting sqref="F13:G13">
    <cfRule type="containsBlanks" dxfId="70" priority="19">
      <formula>LEN(TRIM(F13))=0</formula>
    </cfRule>
  </conditionalFormatting>
  <conditionalFormatting sqref="G14">
    <cfRule type="cellIs" dxfId="69" priority="18" operator="lessThanOrEqual">
      <formula>0</formula>
    </cfRule>
  </conditionalFormatting>
  <conditionalFormatting sqref="F14:G14">
    <cfRule type="containsBlanks" dxfId="68" priority="17">
      <formula>LEN(TRIM(F14))=0</formula>
    </cfRule>
  </conditionalFormatting>
  <conditionalFormatting sqref="B13:C13">
    <cfRule type="containsBlanks" dxfId="67" priority="16">
      <formula>LEN(TRIM(B13))=0</formula>
    </cfRule>
  </conditionalFormatting>
  <conditionalFormatting sqref="B14:C14">
    <cfRule type="containsBlanks" dxfId="66" priority="15">
      <formula>LEN(TRIM(B14))=0</formula>
    </cfRule>
  </conditionalFormatting>
  <conditionalFormatting sqref="E15">
    <cfRule type="expression" dxfId="65" priority="8">
      <formula>COUNTIF(CountryEligEquip,E15)=0</formula>
    </cfRule>
  </conditionalFormatting>
  <conditionalFormatting sqref="G15">
    <cfRule type="cellIs" dxfId="64" priority="7" operator="lessThanOrEqual">
      <formula>0</formula>
    </cfRule>
  </conditionalFormatting>
  <conditionalFormatting sqref="F15:G15">
    <cfRule type="containsBlanks" dxfId="63" priority="6">
      <formula>LEN(TRIM(F15))=0</formula>
    </cfRule>
  </conditionalFormatting>
  <conditionalFormatting sqref="B15:C15">
    <cfRule type="containsBlanks" dxfId="62" priority="5">
      <formula>LEN(TRIM(B15))=0</formula>
    </cfRule>
  </conditionalFormatting>
  <conditionalFormatting sqref="E16">
    <cfRule type="expression" dxfId="61" priority="4">
      <formula>COUNTIF(CountryEligEquip,E16)=0</formula>
    </cfRule>
  </conditionalFormatting>
  <conditionalFormatting sqref="G16">
    <cfRule type="cellIs" dxfId="60" priority="3" operator="lessThanOrEqual">
      <formula>0</formula>
    </cfRule>
  </conditionalFormatting>
  <conditionalFormatting sqref="F16:G16">
    <cfRule type="containsBlanks" dxfId="59" priority="2">
      <formula>LEN(TRIM(F16))=0</formula>
    </cfRule>
  </conditionalFormatting>
  <conditionalFormatting sqref="B16:C16">
    <cfRule type="containsBlanks" dxfId="58" priority="1">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186</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184</v>
      </c>
      <c r="C4" s="177">
        <f>SUM(H:H)</f>
        <v>59000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162</v>
      </c>
      <c r="C11" s="121" t="s">
        <v>147</v>
      </c>
      <c r="D11" s="121" t="s">
        <v>216</v>
      </c>
      <c r="E11" s="121" t="s">
        <v>217</v>
      </c>
      <c r="F11" s="123" t="s">
        <v>132</v>
      </c>
      <c r="G11" s="172" t="s">
        <v>165</v>
      </c>
      <c r="H11" s="172" t="s">
        <v>164</v>
      </c>
      <c r="I11" s="172" t="s">
        <v>218</v>
      </c>
    </row>
    <row r="12" spans="2:9" ht="23.85" customHeight="1" x14ac:dyDescent="0.35">
      <c r="B12" s="122"/>
      <c r="C12" s="122"/>
      <c r="D12" s="122"/>
      <c r="E12" s="122"/>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319</v>
      </c>
      <c r="C14" s="19" t="s">
        <v>8</v>
      </c>
      <c r="D14" s="42" t="str">
        <f>IFERROR(IF(VLOOKUP(C14,PartnerN°Ref,2,FALSE)=0,"",VLOOKUP(C14,PartnerN°Ref,2,FALSE)),"")</f>
        <v>FifthElement</v>
      </c>
      <c r="E14" s="42" t="str">
        <f>IFERROR(IF(OR(VLOOKUP(C14,PartnerN°Ref,4,FALSE)="Country not found",VLOOKUP(C14,PartnerN°Ref,3,FALSE)=0),"",VLOOKUP(C14,PartnerN°Ref,3,FALSE)),"")</f>
        <v>Serbia</v>
      </c>
      <c r="F14" s="18" t="s">
        <v>379</v>
      </c>
      <c r="G14" s="35">
        <v>20000</v>
      </c>
      <c r="H14" s="36">
        <f>IF(I14="Error",0,ROUND(G14,2))</f>
        <v>20000</v>
      </c>
      <c r="I14" s="33" t="str">
        <f>IF(OR(COUNTIF(WorkPackage,B14)=0,COUNTIF(PartnerN°,C14)=0,D14="",COUNTIF(CountryALL,E14)=0,F14="",ISNUMBER(G14)=FALSE,IF(ISNUMBER(G14)=TRUE,G14=INT(G14*100)/100=FALSE)),"Error","")</f>
        <v/>
      </c>
    </row>
    <row r="15" spans="2:9" s="34" customFormat="1" x14ac:dyDescent="0.3">
      <c r="B15" s="14" t="s">
        <v>319</v>
      </c>
      <c r="C15" s="19" t="s">
        <v>11</v>
      </c>
      <c r="D15" s="42" t="str">
        <f>IFERROR(IF(VLOOKUP(C15,PartnerN°Ref,2,FALSE)=0,"",VLOOKUP(C15,PartnerN°Ref,2,FALSE)),"")</f>
        <v>Drustvo za akedmski razvoj (DAR)</v>
      </c>
      <c r="E15" s="42" t="str">
        <f>IFERROR(IF(OR(VLOOKUP(C15,PartnerN°Ref,4,FALSE)="Country not found",VLOOKUP(C15,PartnerN°Ref,3,FALSE)=0),"",VLOOKUP(C15,PartnerN°Ref,3,FALSE)),"")</f>
        <v>Serbia</v>
      </c>
      <c r="F15" s="18" t="s">
        <v>380</v>
      </c>
      <c r="G15" s="35">
        <v>10000</v>
      </c>
      <c r="H15" s="36">
        <f>IF(I15="Error",0,ROUND(G15,2))</f>
        <v>10000</v>
      </c>
      <c r="I15" s="33" t="str">
        <f>IF(OR(COUNTIF(WorkPackage,B15)=0,COUNTIF(PartnerN°,C15)=0,D15="",COUNTIF(CountryALL,E15)=0,F15="",ISNUMBER(G15)=FALSE,IF(ISNUMBER(G15)=TRUE,G15=INT(G15*100)/100=FALSE)),"Error","")</f>
        <v/>
      </c>
    </row>
    <row r="16" spans="2:9" s="34" customFormat="1" x14ac:dyDescent="0.3">
      <c r="B16" s="14" t="s">
        <v>319</v>
      </c>
      <c r="C16" s="19" t="s">
        <v>11</v>
      </c>
      <c r="D16" s="42" t="str">
        <f>IFERROR(IF(VLOOKUP(C16,PartnerN°Ref,2,FALSE)=0,"",VLOOKUP(C16,PartnerN°Ref,2,FALSE)),"")</f>
        <v>Drustvo za akedmski razvoj (DAR)</v>
      </c>
      <c r="E16" s="42" t="str">
        <f>IFERROR(IF(OR(VLOOKUP(C16,PartnerN°Ref,4,FALSE)="Country not found",VLOOKUP(C16,PartnerN°Ref,3,FALSE)=0),"",VLOOKUP(C16,PartnerN°Ref,3,FALSE)),"")</f>
        <v>Serbia</v>
      </c>
      <c r="F16" s="18" t="s">
        <v>381</v>
      </c>
      <c r="G16" s="35">
        <v>10000</v>
      </c>
      <c r="H16" s="36">
        <f>IF(I16="Error",0,ROUND(G16,2))</f>
        <v>10000</v>
      </c>
      <c r="I16" s="33" t="str">
        <f>IF(OR(COUNTIF(WorkPackage,B16)=0,COUNTIF(PartnerN°,C16)=0,D16="",COUNTIF(CountryALL,E16)=0,F16="",ISNUMBER(G16)=FALSE,IF(ISNUMBER(G16)=TRUE,G16=INT(G16*100)/100=FALSE)),"Error","")</f>
        <v/>
      </c>
    </row>
    <row r="17" spans="2:9" s="34" customFormat="1" x14ac:dyDescent="0.3">
      <c r="B17" s="14" t="s">
        <v>174</v>
      </c>
      <c r="C17" s="19" t="s">
        <v>14</v>
      </c>
      <c r="D17" s="42" t="str">
        <f>IFERROR(IF(VLOOKUP(C17,PartnerN°Ref,2,FALSE)=0,"",VLOOKUP(C17,PartnerN°Ref,2,FALSE)),"")</f>
        <v>Radboud University</v>
      </c>
      <c r="E17" s="42" t="str">
        <f>IFERROR(IF(OR(VLOOKUP(C17,PartnerN°Ref,4,FALSE)="Country not found",VLOOKUP(C17,PartnerN°Ref,3,FALSE)=0),"",VLOOKUP(C17,PartnerN°Ref,3,FALSE)),"")</f>
        <v>Netherlands</v>
      </c>
      <c r="F17" s="18" t="s">
        <v>382</v>
      </c>
      <c r="G17" s="35">
        <v>19000</v>
      </c>
      <c r="H17" s="36">
        <f>IF(I17="Error",0,ROUND(G17,2))</f>
        <v>19000</v>
      </c>
      <c r="I17" s="33" t="str">
        <f>IF(OR(COUNTIF(WorkPackage,B17)=0,COUNTIF(PartnerN°,C17)=0,D17="",COUNTIF(CountryALL,E17)=0,F17="",ISNUMBER(G17)=FALSE,IF(ISNUMBER(G17)=TRUE,G17=INT(G17*100)/100=FALSE)),"Error","")</f>
        <v/>
      </c>
    </row>
  </sheetData>
  <sheetProtection algorithmName="SHA-512" hashValue="YVbKRljHesPC292E2lpeoq5oJbRgcsgHgXxEVMtm9jh2sg8TT7WlZaRRHdGbWhymrWwAztgCLIFfz340GfEFlw==" saltValue="i6JuUsBYForGVENmyBhzS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7">
    <cfRule type="containsText" dxfId="57" priority="198" operator="containsText" text="Error">
      <formula>NOT(ISERROR(SEARCH("Error",I13)))</formula>
    </cfRule>
  </conditionalFormatting>
  <conditionalFormatting sqref="D13:E17">
    <cfRule type="containsBlanks" dxfId="56" priority="192">
      <formula>LEN(TRIM(D13))=0</formula>
    </cfRule>
  </conditionalFormatting>
  <conditionalFormatting sqref="G13">
    <cfRule type="cellIs" dxfId="55" priority="17" operator="lessThanOrEqual">
      <formula>0</formula>
    </cfRule>
  </conditionalFormatting>
  <conditionalFormatting sqref="F13:G13">
    <cfRule type="containsBlanks" dxfId="54" priority="14">
      <formula>LEN(TRIM(F13))=0</formula>
    </cfRule>
  </conditionalFormatting>
  <conditionalFormatting sqref="G14">
    <cfRule type="cellIs" dxfId="53" priority="13" operator="lessThanOrEqual">
      <formula>0</formula>
    </cfRule>
  </conditionalFormatting>
  <conditionalFormatting sqref="F14:G14">
    <cfRule type="containsBlanks" dxfId="52" priority="12">
      <formula>LEN(TRIM(F14))=0</formula>
    </cfRule>
  </conditionalFormatting>
  <conditionalFormatting sqref="B13:C13">
    <cfRule type="containsBlanks" dxfId="51" priority="11">
      <formula>LEN(TRIM(B13))=0</formula>
    </cfRule>
  </conditionalFormatting>
  <conditionalFormatting sqref="B14:C14">
    <cfRule type="containsBlanks" dxfId="50" priority="10">
      <formula>LEN(TRIM(B14))=0</formula>
    </cfRule>
  </conditionalFormatting>
  <conditionalFormatting sqref="G15">
    <cfRule type="cellIs" dxfId="49" priority="9" operator="lessThanOrEqual">
      <formula>0</formula>
    </cfRule>
  </conditionalFormatting>
  <conditionalFormatting sqref="F15:G15">
    <cfRule type="containsBlanks" dxfId="48" priority="8">
      <formula>LEN(TRIM(F15))=0</formula>
    </cfRule>
  </conditionalFormatting>
  <conditionalFormatting sqref="B15:C15">
    <cfRule type="containsBlanks" dxfId="47" priority="7">
      <formula>LEN(TRIM(B15))=0</formula>
    </cfRule>
  </conditionalFormatting>
  <conditionalFormatting sqref="G16">
    <cfRule type="cellIs" dxfId="46" priority="6" operator="lessThanOrEqual">
      <formula>0</formula>
    </cfRule>
  </conditionalFormatting>
  <conditionalFormatting sqref="F16:G16">
    <cfRule type="containsBlanks" dxfId="45" priority="5">
      <formula>LEN(TRIM(F16))=0</formula>
    </cfRule>
  </conditionalFormatting>
  <conditionalFormatting sqref="B16:C16">
    <cfRule type="containsBlanks" dxfId="44" priority="4">
      <formula>LEN(TRIM(B16))=0</formula>
    </cfRule>
  </conditionalFormatting>
  <conditionalFormatting sqref="G17">
    <cfRule type="cellIs" dxfId="43" priority="3" operator="lessThanOrEqual">
      <formula>0</formula>
    </cfRule>
  </conditionalFormatting>
  <conditionalFormatting sqref="F17:G17">
    <cfRule type="containsBlanks" dxfId="42" priority="2">
      <formula>LEN(TRIM(F17))=0</formula>
    </cfRule>
  </conditionalFormatting>
  <conditionalFormatting sqref="B17:C17">
    <cfRule type="containsBlanks" dxfId="41"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20" t="s">
        <v>199</v>
      </c>
      <c r="C2" s="120"/>
      <c r="D2" s="120"/>
      <c r="E2" s="120"/>
      <c r="F2" s="120"/>
      <c r="G2" s="120"/>
      <c r="H2" s="120"/>
      <c r="I2" s="120"/>
      <c r="J2" s="120"/>
    </row>
    <row r="3" spans="2:10" s="20" customFormat="1" ht="8.1" customHeight="1" x14ac:dyDescent="0.35">
      <c r="B3" s="139"/>
      <c r="C3" s="140"/>
      <c r="D3" s="140"/>
      <c r="E3" s="140"/>
      <c r="F3" s="140"/>
      <c r="G3" s="140"/>
      <c r="H3" s="140"/>
      <c r="I3" s="140"/>
      <c r="J3" s="141"/>
    </row>
    <row r="4" spans="2:10" s="20" customFormat="1" ht="9.9" customHeight="1" x14ac:dyDescent="0.35">
      <c r="B4" s="186" t="s">
        <v>184</v>
      </c>
      <c r="C4" s="183">
        <f>SUM(I:I)</f>
        <v>125000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31"/>
      <c r="C10" s="138"/>
      <c r="D10" s="138"/>
      <c r="E10" s="138"/>
      <c r="F10" s="138"/>
      <c r="G10" s="138"/>
      <c r="H10" s="138"/>
      <c r="I10" s="138"/>
      <c r="J10" s="132"/>
    </row>
    <row r="11" spans="2:10" s="45" customFormat="1" ht="42" customHeight="1" x14ac:dyDescent="0.35">
      <c r="B11" s="121" t="s">
        <v>147</v>
      </c>
      <c r="C11" s="121" t="s">
        <v>216</v>
      </c>
      <c r="D11" s="121" t="s">
        <v>217</v>
      </c>
      <c r="E11" s="121" t="s">
        <v>188</v>
      </c>
      <c r="F11" s="123" t="s">
        <v>189</v>
      </c>
      <c r="G11" s="123" t="s">
        <v>190</v>
      </c>
      <c r="H11" s="172" t="s">
        <v>165</v>
      </c>
      <c r="I11" s="172" t="s">
        <v>164</v>
      </c>
      <c r="J11" s="172" t="s">
        <v>218</v>
      </c>
    </row>
    <row r="12" spans="2:10" ht="23.85" customHeight="1" x14ac:dyDescent="0.35">
      <c r="B12" s="122"/>
      <c r="C12" s="122"/>
      <c r="D12" s="122"/>
      <c r="E12" s="122"/>
      <c r="F12" s="122"/>
      <c r="G12" s="122"/>
      <c r="H12" s="122"/>
      <c r="I12" s="122"/>
      <c r="J12" s="12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18" customHeight="1" x14ac:dyDescent="0.3">
      <c r="B14" s="19" t="s">
        <v>13</v>
      </c>
      <c r="C14" s="42" t="str">
        <f>IFERROR(IF(VLOOKUP(B14,PartnerN°Ref,2,FALSE)=0,"",VLOOKUP(B14,PartnerN°Ref,2,FALSE)),"")</f>
        <v>University of Helsinki</v>
      </c>
      <c r="D14" s="42" t="str">
        <f>IFERROR(IF(OR(VLOOKUP(B14,PartnerN°Ref,4,FALSE)="Country not found",VLOOKUP(B14,PartnerN°Ref,3,FALSE)=0),"",VLOOKUP(B14,PartnerN°Ref,3,FALSE)),"")</f>
        <v>Finland</v>
      </c>
      <c r="E14" s="18" t="s">
        <v>383</v>
      </c>
      <c r="F14" s="18" t="s">
        <v>384</v>
      </c>
      <c r="G14" s="18" t="s">
        <v>385</v>
      </c>
      <c r="H14" s="35">
        <v>37500</v>
      </c>
      <c r="I14" s="36">
        <f>IF(J14="Error",0,ROUND(H14,2))</f>
        <v>37500</v>
      </c>
      <c r="J14" s="33" t="str">
        <f>IF(OR(COUNTIF(PartnerN°,B14)=0,C14="",COUNTIF(CountryALL,D14)=0,E14="",F14="",G14="",ISNUMBER(H14)=FALSE,IF(ISNUMBER(H14)=TRUE,H14=INT(H14*100)/100=FALSE)),"Error","")</f>
        <v/>
      </c>
    </row>
    <row r="15" spans="2:10" s="34" customFormat="1" ht="36" x14ac:dyDescent="0.3">
      <c r="B15" s="19" t="s">
        <v>18</v>
      </c>
      <c r="C15" s="42" t="str">
        <f>IFERROR(IF(VLOOKUP(B15,PartnerN°Ref,2,FALSE)=0,"",VLOOKUP(B15,PartnerN°Ref,2,FALSE)),"")</f>
        <v>IMEC</v>
      </c>
      <c r="D15" s="42" t="str">
        <f>IFERROR(IF(OR(VLOOKUP(B15,PartnerN°Ref,4,FALSE)="Country not found",VLOOKUP(B15,PartnerN°Ref,3,FALSE)=0),"",VLOOKUP(B15,PartnerN°Ref,3,FALSE)),"")</f>
        <v>Belgium</v>
      </c>
      <c r="E15" s="18" t="s">
        <v>386</v>
      </c>
      <c r="F15" s="18" t="s">
        <v>387</v>
      </c>
      <c r="G15" s="18" t="s">
        <v>388</v>
      </c>
      <c r="H15" s="35">
        <v>37500</v>
      </c>
      <c r="I15" s="36">
        <f>IF(J15="Error",0,ROUND(H15,2))</f>
        <v>37500</v>
      </c>
      <c r="J15" s="33" t="str">
        <f>IF(OR(COUNTIF(PartnerN°,B15)=0,C15="",COUNTIF(CountryALL,D15)=0,E15="",F15="",G15="",ISNUMBER(H15)=FALSE,IF(ISNUMBER(H15)=TRUE,H15=INT(H15*100)/100=FALSE)),"Error","")</f>
        <v/>
      </c>
    </row>
    <row r="16" spans="2:10" s="34" customFormat="1" x14ac:dyDescent="0.3">
      <c r="B16" s="19" t="s">
        <v>20</v>
      </c>
      <c r="C16" s="42" t="str">
        <f>IFERROR(IF(VLOOKUP(B16,PartnerN°Ref,2,FALSE)=0,"",VLOOKUP(B16,PartnerN°Ref,2,FALSE)),"")</f>
        <v>Uniwersytet Warszawski</v>
      </c>
      <c r="D16" s="42" t="str">
        <f>IFERROR(IF(OR(VLOOKUP(B16,PartnerN°Ref,4,FALSE)="Country not found",VLOOKUP(B16,PartnerN°Ref,3,FALSE)=0),"",VLOOKUP(B16,PartnerN°Ref,3,FALSE)),"")</f>
        <v>Poland</v>
      </c>
      <c r="E16" s="18" t="s">
        <v>386</v>
      </c>
      <c r="F16" s="18" t="s">
        <v>389</v>
      </c>
      <c r="G16" s="18" t="s">
        <v>390</v>
      </c>
      <c r="H16" s="35">
        <v>50000</v>
      </c>
      <c r="I16" s="36">
        <f>IF(J16="Error",0,ROUND(H16,2))</f>
        <v>50000</v>
      </c>
      <c r="J16" s="33" t="str">
        <f>IF(OR(COUNTIF(PartnerN°,B16)=0,C16="",COUNTIF(CountryALL,D16)=0,E16="",F16="",G16="",ISNUMBER(H16)=FALSE,IF(ISNUMBER(H16)=TRUE,H16=INT(H16*100)/100=FALSE)),"Error","")</f>
        <v/>
      </c>
    </row>
    <row r="18" spans="2:2" x14ac:dyDescent="0.35">
      <c r="B18" s="39" t="s">
        <v>219</v>
      </c>
    </row>
    <row r="19" spans="2:2" x14ac:dyDescent="0.35">
      <c r="B19" s="39" t="s">
        <v>220</v>
      </c>
    </row>
    <row r="20" spans="2:2" x14ac:dyDescent="0.35">
      <c r="B20" s="39" t="s">
        <v>221</v>
      </c>
    </row>
  </sheetData>
  <sheetProtection algorithmName="SHA-512" hashValue="vDFX3lZ2fQ7WpRanICtn4lnd2amJWL/lHXbO/2QtdZDtV9cCIF9EhrOsLmZgP4f+uZHNJ5jaVs9hAv9uGW4sxw==" saltValue="waG07WF9RrCRC51gLz+2u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6">
    <cfRule type="containsText" dxfId="40" priority="150" operator="containsText" text="Error">
      <formula>NOT(ISERROR(SEARCH("Error",J13)))</formula>
    </cfRule>
  </conditionalFormatting>
  <conditionalFormatting sqref="C13:D16">
    <cfRule type="containsBlanks" dxfId="39" priority="143">
      <formula>LEN(TRIM(C13))=0</formula>
    </cfRule>
  </conditionalFormatting>
  <conditionalFormatting sqref="H13">
    <cfRule type="cellIs" dxfId="38" priority="14" operator="lessThanOrEqual">
      <formula>0</formula>
    </cfRule>
  </conditionalFormatting>
  <conditionalFormatting sqref="E13:H13">
    <cfRule type="containsBlanks" dxfId="37" priority="11">
      <formula>LEN(TRIM(E13))=0</formula>
    </cfRule>
  </conditionalFormatting>
  <conditionalFormatting sqref="H14">
    <cfRule type="cellIs" dxfId="36" priority="10" operator="lessThanOrEqual">
      <formula>0</formula>
    </cfRule>
  </conditionalFormatting>
  <conditionalFormatting sqref="E14:H14">
    <cfRule type="containsBlanks" dxfId="35" priority="9">
      <formula>LEN(TRIM(E14))=0</formula>
    </cfRule>
  </conditionalFormatting>
  <conditionalFormatting sqref="B13">
    <cfRule type="containsBlanks" dxfId="34" priority="8">
      <formula>LEN(TRIM(B13))=0</formula>
    </cfRule>
  </conditionalFormatting>
  <conditionalFormatting sqref="B14">
    <cfRule type="containsBlanks" dxfId="33" priority="7">
      <formula>LEN(TRIM(B14))=0</formula>
    </cfRule>
  </conditionalFormatting>
  <conditionalFormatting sqref="H15">
    <cfRule type="cellIs" dxfId="32" priority="6" operator="lessThanOrEqual">
      <formula>0</formula>
    </cfRule>
  </conditionalFormatting>
  <conditionalFormatting sqref="E15:H15">
    <cfRule type="containsBlanks" dxfId="31" priority="5">
      <formula>LEN(TRIM(E15))=0</formula>
    </cfRule>
  </conditionalFormatting>
  <conditionalFormatting sqref="B15">
    <cfRule type="containsBlanks" dxfId="30" priority="4">
      <formula>LEN(TRIM(B15))=0</formula>
    </cfRule>
  </conditionalFormatting>
  <conditionalFormatting sqref="H16">
    <cfRule type="cellIs" dxfId="29" priority="3" operator="lessThanOrEqual">
      <formula>0</formula>
    </cfRule>
  </conditionalFormatting>
  <conditionalFormatting sqref="E16:H16">
    <cfRule type="containsBlanks" dxfId="28" priority="2">
      <formula>LEN(TRIM(E16))=0</formula>
    </cfRule>
  </conditionalFormatting>
  <conditionalFormatting sqref="B16">
    <cfRule type="containsBlanks" dxfId="27" priority="1">
      <formula>LEN(TRIM(B16))=0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abSelected="1" topLeftCell="A14"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20" t="s">
        <v>178</v>
      </c>
      <c r="C2" s="120"/>
      <c r="D2" s="120"/>
      <c r="E2" s="120"/>
      <c r="F2" s="120"/>
      <c r="G2" s="120"/>
      <c r="H2" s="120"/>
      <c r="I2" s="120"/>
    </row>
    <row r="3" spans="2:9" s="20" customFormat="1" ht="8.1" customHeight="1" x14ac:dyDescent="0.35">
      <c r="B3" s="195"/>
      <c r="C3" s="195"/>
      <c r="D3" s="195"/>
      <c r="E3" s="195"/>
      <c r="F3" s="195"/>
      <c r="G3" s="195"/>
      <c r="H3" s="195"/>
      <c r="I3" s="195"/>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18851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158851</v>
      </c>
    </row>
    <row r="6" spans="2:9" ht="16.5" customHeight="1" x14ac:dyDescent="0.35">
      <c r="B6" s="76" t="str">
        <f>'Unit Costs &amp; Funding Rule'!P11</f>
        <v>Development</v>
      </c>
      <c r="C6" s="21">
        <f>SUMIF('1. Staff costs'!B:B,B6,'1. Staff costs'!S:S)</f>
        <v>61472</v>
      </c>
      <c r="D6" s="21">
        <f>SUMIF(' 2-3-6. Travel&amp;Costs of Stay'!B:B,B6,' 2-3-6. Travel&amp;Costs of Stay'!O:O)</f>
        <v>0</v>
      </c>
      <c r="E6" s="22">
        <f>SUMIF(' 2-3-6. Travel&amp;Costs of Stay'!B:B,B6,' 2-3-6. Travel&amp;Costs of Stay'!P:P)</f>
        <v>147140</v>
      </c>
      <c r="F6" s="22">
        <f>SUMIF('4. Equipment Costs'!B:B,B6,'4. Equipment Costs'!H:H)</f>
        <v>70000</v>
      </c>
      <c r="G6" s="22">
        <f>SUMIF('5. Subcontracting Costs'!B:B,B6,'5. Subcontracting Costs'!H:H)</f>
        <v>0</v>
      </c>
      <c r="H6" s="22">
        <f>SUMIF(' 2-3-6. Travel&amp;Costs of Stay'!B:B,B6,' 2-3-6. Travel&amp;Costs of Stay'!N:N)</f>
        <v>96000</v>
      </c>
      <c r="I6" s="23">
        <f t="shared" si="0"/>
        <v>374612</v>
      </c>
    </row>
    <row r="7" spans="2:9" ht="16.5" customHeight="1" x14ac:dyDescent="0.35">
      <c r="B7" s="76" t="str">
        <f>'Unit Costs &amp; Funding Rule'!P12</f>
        <v>Quality Plan</v>
      </c>
      <c r="C7" s="21">
        <f>SUMIF('1. Staff costs'!B:B,B7,'1. Staff costs'!S:S)</f>
        <v>219294</v>
      </c>
      <c r="D7" s="21">
        <f>SUMIF(' 2-3-6. Travel&amp;Costs of Stay'!B:B,B7,' 2-3-6. Travel&amp;Costs of Stay'!O:O)</f>
        <v>4125</v>
      </c>
      <c r="E7" s="22">
        <f>SUMIF(' 2-3-6. Travel&amp;Costs of Stay'!B:B,B7,' 2-3-6. Travel&amp;Costs of Stay'!P:P)</f>
        <v>42000</v>
      </c>
      <c r="F7" s="22">
        <f>SUMIF('4. Equipment Costs'!B:B,B7,'4. Equipment Costs'!H:H)</f>
        <v>0</v>
      </c>
      <c r="G7" s="22">
        <f>SUMIF('5. Subcontracting Costs'!B:B,B7,'5. Subcontracting Costs'!H:H)</f>
        <v>0</v>
      </c>
      <c r="H7" s="22">
        <f>SUMIF(' 2-3-6. Travel&amp;Costs of Stay'!B:B,B7,' 2-3-6. Travel&amp;Costs of Stay'!N:N)</f>
        <v>0</v>
      </c>
      <c r="I7" s="23">
        <f t="shared" si="0"/>
        <v>265419</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x14ac:dyDescent="0.35">
      <c r="B9" s="76" t="str">
        <f>'Unit Costs &amp; Funding Rule'!P14</f>
        <v>Management</v>
      </c>
      <c r="C9" s="21">
        <f>SUMIF('1. Staff costs'!B:B,B9,'1. Staff costs'!S:S)</f>
        <v>51720</v>
      </c>
      <c r="D9" s="21">
        <f>SUMIF(' 2-3-6. Travel&amp;Costs of Stay'!B:B,B9,' 2-3-6. Travel&amp;Costs of Stay'!O:O)</f>
        <v>5400</v>
      </c>
      <c r="E9" s="22">
        <f>SUMIF(' 2-3-6. Travel&amp;Costs of Stay'!B:B,B9,' 2-3-6. Travel&amp;Costs of Stay'!P:P)</f>
        <v>42000</v>
      </c>
      <c r="F9" s="22">
        <f>SUMIF('4. Equipment Costs'!B:B,B9,'4. Equipment Costs'!H:H)</f>
        <v>0</v>
      </c>
      <c r="G9" s="22">
        <f>SUMIF('5. Subcontracting Costs'!B:B,B9,'5. Subcontracting Costs'!H:H)</f>
        <v>19000</v>
      </c>
      <c r="H9" s="22">
        <f>SUMIF(' 2-3-6. Travel&amp;Costs of Stay'!B:B,B9,' 2-3-6. Travel&amp;Costs of Stay'!N:N)</f>
        <v>0</v>
      </c>
      <c r="I9" s="23">
        <f t="shared" si="0"/>
        <v>118120</v>
      </c>
    </row>
    <row r="10" spans="2:9" x14ac:dyDescent="0.35">
      <c r="B10" s="43" t="s">
        <v>1</v>
      </c>
      <c r="C10" s="23">
        <f t="shared" ref="C10:F10" si="1">SUM(C5:C9)</f>
        <v>357987</v>
      </c>
      <c r="D10" s="23">
        <f t="shared" si="1"/>
        <v>9525</v>
      </c>
      <c r="E10" s="23">
        <f t="shared" si="1"/>
        <v>231140</v>
      </c>
      <c r="F10" s="23">
        <f t="shared" si="1"/>
        <v>210000</v>
      </c>
      <c r="G10" s="23">
        <f>SUM(G5:G9)</f>
        <v>59000</v>
      </c>
      <c r="H10" s="23">
        <f>SUM(H5:H9)</f>
        <v>96000</v>
      </c>
      <c r="I10" s="17">
        <f t="shared" si="0"/>
        <v>963652</v>
      </c>
    </row>
    <row r="11" spans="2:9" ht="20.100000000000001" customHeight="1" x14ac:dyDescent="0.35">
      <c r="B11" s="194"/>
      <c r="C11" s="194"/>
      <c r="D11" s="194"/>
      <c r="E11" s="194"/>
      <c r="F11" s="194"/>
      <c r="G11" s="194"/>
      <c r="H11" s="194"/>
      <c r="I11" s="194"/>
    </row>
    <row r="12" spans="2:9" ht="30" customHeight="1" x14ac:dyDescent="0.35">
      <c r="B12" s="120" t="s">
        <v>203</v>
      </c>
      <c r="C12" s="120"/>
      <c r="D12" s="120"/>
      <c r="E12" s="120"/>
      <c r="F12" s="120"/>
      <c r="G12" s="120"/>
      <c r="H12" s="120"/>
      <c r="I12" s="120"/>
    </row>
    <row r="13" spans="2:9" ht="8.1" customHeight="1" x14ac:dyDescent="0.35">
      <c r="B13" s="192"/>
      <c r="C13" s="192"/>
      <c r="D13" s="192"/>
      <c r="E13" s="192"/>
      <c r="F13" s="192"/>
      <c r="G13" s="192"/>
      <c r="H13" s="192"/>
      <c r="I13" s="192"/>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332787</v>
      </c>
      <c r="D15" s="21">
        <f>SUMIF(Overview!$E$27:$E$81,B15,Overview!$G$27:$G$81)</f>
        <v>9525</v>
      </c>
      <c r="E15" s="21">
        <f>SUMIF(Overview!$E$27:$E$81,B15,Overview!$H$27:$H$81)</f>
        <v>211140</v>
      </c>
      <c r="F15" s="21">
        <f>SUMIF(Overview!$E$27:$E$81,B15,Overview!$I$27:$I$81)</f>
        <v>0</v>
      </c>
      <c r="G15" s="21">
        <f>SUMIF(Overview!$E$27:$E$81,B15,Overview!$J$27:$J$81)</f>
        <v>59000</v>
      </c>
      <c r="H15" s="21">
        <f>SUMIF(Overview!$E$27:$E$81,B15,Overview!$K$27:$K$81)</f>
        <v>86400</v>
      </c>
      <c r="I15" s="23">
        <f>SUM(C15:H15)</f>
        <v>698852</v>
      </c>
    </row>
    <row r="16" spans="2:9" x14ac:dyDescent="0.35">
      <c r="B16" s="76" t="s">
        <v>197</v>
      </c>
      <c r="C16" s="21">
        <f>SUMIF(Overview!$E$27:$E$81,B16,Overview!$F$27:$F$81)</f>
        <v>25200</v>
      </c>
      <c r="D16" s="21">
        <f>SUMIF(Overview!$E$27:$E$81,B16,Overview!$G$27:$G$81)</f>
        <v>0</v>
      </c>
      <c r="E16" s="21">
        <f>SUMIF(Overview!$E$27:$E$81,B16,Overview!$H$27:$H$81)</f>
        <v>20000</v>
      </c>
      <c r="F16" s="21">
        <f>SUMIF(Overview!$E$27:$E$81,B16,Overview!$I$27:$I$81)</f>
        <v>210000</v>
      </c>
      <c r="G16" s="21">
        <f>SUMIF(Overview!$E$27:$E$81,B16,Overview!$J$27:$J$81)</f>
        <v>0</v>
      </c>
      <c r="H16" s="21">
        <f>SUMIF(Overview!$E$27:$E$81,B16,Overview!$K$27:$K$81)</f>
        <v>9600</v>
      </c>
      <c r="I16" s="23">
        <f>SUM(C16:H16)</f>
        <v>264800</v>
      </c>
    </row>
    <row r="17" spans="2:9" x14ac:dyDescent="0.35">
      <c r="B17" s="43" t="s">
        <v>1</v>
      </c>
      <c r="C17" s="23">
        <f t="shared" ref="C17:F17" si="2">SUM(C15:C16)</f>
        <v>357987</v>
      </c>
      <c r="D17" s="23">
        <f t="shared" si="2"/>
        <v>9525</v>
      </c>
      <c r="E17" s="23">
        <f t="shared" si="2"/>
        <v>231140</v>
      </c>
      <c r="F17" s="23">
        <f t="shared" si="2"/>
        <v>210000</v>
      </c>
      <c r="G17" s="23">
        <f>SUM(G15:G16)</f>
        <v>59000</v>
      </c>
      <c r="H17" s="23">
        <f>SUM(H15:H16)</f>
        <v>96000</v>
      </c>
      <c r="I17" s="17">
        <f>SUM(C17:H17)</f>
        <v>963652</v>
      </c>
    </row>
    <row r="18" spans="2:9" ht="20.100000000000001" customHeight="1" x14ac:dyDescent="0.35">
      <c r="B18" s="193"/>
      <c r="C18" s="193"/>
      <c r="D18" s="193"/>
      <c r="E18" s="193"/>
      <c r="F18" s="193"/>
      <c r="G18" s="193"/>
      <c r="H18" s="193"/>
      <c r="I18" s="193"/>
    </row>
    <row r="19" spans="2:9" ht="30" customHeight="1" x14ac:dyDescent="0.35">
      <c r="B19" s="120" t="s">
        <v>205</v>
      </c>
      <c r="C19" s="120"/>
      <c r="D19" s="120"/>
      <c r="E19" s="120"/>
      <c r="F19" s="120"/>
      <c r="G19" s="120"/>
      <c r="H19" s="120"/>
      <c r="I19" s="120"/>
    </row>
    <row r="20" spans="2:9" ht="8.1" customHeight="1" x14ac:dyDescent="0.35">
      <c r="B20" s="192"/>
      <c r="C20" s="192"/>
      <c r="D20" s="192"/>
      <c r="E20" s="192"/>
      <c r="F20" s="192"/>
      <c r="G20" s="192"/>
      <c r="H20" s="192"/>
      <c r="I20" s="192"/>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164</v>
      </c>
      <c r="I21" s="197"/>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4410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21100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8">
        <f t="shared" ref="H22:H34" si="3">SUM(C22:G22)</f>
        <v>25510</v>
      </c>
      <c r="I22" s="199"/>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18238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8">
        <f t="shared" si="3"/>
        <v>18238</v>
      </c>
      <c r="I23" s="199"/>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8214</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8">
        <f t="shared" si="3"/>
        <v>8214</v>
      </c>
      <c r="I24" s="199"/>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18598</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25550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8">
        <f t="shared" si="3"/>
        <v>44148</v>
      </c>
      <c r="I25" s="199"/>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7881</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66712</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8">
        <f t="shared" si="3"/>
        <v>84273</v>
      </c>
      <c r="I26" s="199"/>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1310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54372</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25200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5600</v>
      </c>
      <c r="H27" s="198">
        <f t="shared" si="3"/>
        <v>86482</v>
      </c>
      <c r="I27" s="199"/>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1570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10182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85599</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30760</v>
      </c>
      <c r="H28" s="198">
        <f t="shared" si="3"/>
        <v>128111</v>
      </c>
      <c r="I28" s="199"/>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780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6180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14760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50680</v>
      </c>
      <c r="H29" s="198">
        <f t="shared" si="3"/>
        <v>72400</v>
      </c>
      <c r="I29" s="199"/>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1570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18832</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26460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5880</v>
      </c>
      <c r="H30" s="198">
        <f t="shared" si="3"/>
        <v>52742</v>
      </c>
      <c r="I30" s="199"/>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1570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18832</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26460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5880</v>
      </c>
      <c r="H31" s="198">
        <f t="shared" si="3"/>
        <v>52742</v>
      </c>
      <c r="I31" s="199"/>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1310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14620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25200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5600</v>
      </c>
      <c r="H32" s="198">
        <f t="shared" si="3"/>
        <v>46730</v>
      </c>
      <c r="I32" s="199"/>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450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15040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9720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2160</v>
      </c>
      <c r="H33" s="198">
        <f t="shared" si="3"/>
        <v>27370</v>
      </c>
      <c r="I33" s="199"/>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1570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20218</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26460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5880</v>
      </c>
      <c r="H34" s="198">
        <f t="shared" si="3"/>
        <v>54128</v>
      </c>
      <c r="I34" s="199"/>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390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15064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7920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1760</v>
      </c>
      <c r="H35" s="198">
        <f t="shared" ref="H35:H76" si="4">SUM(C35:G35)</f>
        <v>25134</v>
      </c>
      <c r="I35" s="199"/>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140450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85100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9720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2160</v>
      </c>
      <c r="H36" s="198">
        <f t="shared" si="4"/>
        <v>237430</v>
      </c>
      <c r="I36" s="199"/>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x14ac:dyDescent="0.35">
      <c r="B77" s="48" t="s">
        <v>1</v>
      </c>
      <c r="C77" s="23">
        <f>SUM(C22:C76)</f>
        <v>158851</v>
      </c>
      <c r="D77" s="23">
        <f t="shared" ref="D77:G77" si="5">SUM(D22:D76)</f>
        <v>374612</v>
      </c>
      <c r="E77" s="23">
        <f t="shared" si="5"/>
        <v>265419</v>
      </c>
      <c r="F77" s="23">
        <f t="shared" si="5"/>
        <v>46650</v>
      </c>
      <c r="G77" s="23">
        <f t="shared" si="5"/>
        <v>118120</v>
      </c>
      <c r="H77" s="198">
        <f>SUM(C77:G77)</f>
        <v>963652</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26" priority="139" stopIfTrue="1" operator="equal">
      <formula>"&gt; 30 %"</formula>
    </cfRule>
  </conditionalFormatting>
  <conditionalFormatting sqref="C4:E4 D14:E14">
    <cfRule type="cellIs" dxfId="25" priority="52" stopIfTrue="1" operator="equal">
      <formula>"ERROR"</formula>
    </cfRule>
  </conditionalFormatting>
  <conditionalFormatting sqref="F4">
    <cfRule type="cellIs" dxfId="24" priority="50" stopIfTrue="1" operator="equal">
      <formula>"ERROR"</formula>
    </cfRule>
  </conditionalFormatting>
  <conditionalFormatting sqref="G4">
    <cfRule type="cellIs" dxfId="23" priority="49" stopIfTrue="1" operator="equal">
      <formula>"ERROR"</formula>
    </cfRule>
  </conditionalFormatting>
  <conditionalFormatting sqref="I4">
    <cfRule type="cellIs" dxfId="22" priority="48" stopIfTrue="1" operator="equal">
      <formula>"ERROR"</formula>
    </cfRule>
  </conditionalFormatting>
  <conditionalFormatting sqref="B12">
    <cfRule type="cellIs" dxfId="21" priority="33" stopIfTrue="1" operator="equal">
      <formula>"&gt; 30 %"</formula>
    </cfRule>
  </conditionalFormatting>
  <conditionalFormatting sqref="B10">
    <cfRule type="cellIs" dxfId="20" priority="29" stopIfTrue="1" operator="equal">
      <formula>"ERROR"</formula>
    </cfRule>
  </conditionalFormatting>
  <conditionalFormatting sqref="B17">
    <cfRule type="cellIs" dxfId="19" priority="28" stopIfTrue="1" operator="equal">
      <formula>"ERROR"</formula>
    </cfRule>
  </conditionalFormatting>
  <conditionalFormatting sqref="C14">
    <cfRule type="cellIs" dxfId="18" priority="19" stopIfTrue="1" operator="equal">
      <formula>"ERROR"</formula>
    </cfRule>
  </conditionalFormatting>
  <conditionalFormatting sqref="F14">
    <cfRule type="cellIs" dxfId="17" priority="17" stopIfTrue="1" operator="equal">
      <formula>"ERROR"</formula>
    </cfRule>
  </conditionalFormatting>
  <conditionalFormatting sqref="G14">
    <cfRule type="cellIs" dxfId="16" priority="16" stopIfTrue="1" operator="equal">
      <formula>"ERROR"</formula>
    </cfRule>
  </conditionalFormatting>
  <conditionalFormatting sqref="B19">
    <cfRule type="cellIs" dxfId="15" priority="14" stopIfTrue="1" operator="equal">
      <formula>"&gt; 30 %"</formula>
    </cfRule>
  </conditionalFormatting>
  <conditionalFormatting sqref="H21">
    <cfRule type="cellIs" dxfId="14" priority="11" stopIfTrue="1" operator="equal">
      <formula>"ERROR"</formula>
    </cfRule>
  </conditionalFormatting>
  <conditionalFormatting sqref="H4">
    <cfRule type="cellIs" dxfId="13" priority="3" stopIfTrue="1" operator="equal">
      <formula>"ERROR"</formula>
    </cfRule>
  </conditionalFormatting>
  <conditionalFormatting sqref="H14">
    <cfRule type="cellIs" dxfId="12" priority="2" stopIfTrue="1" operator="equal">
      <formula>"ERROR"</formula>
    </cfRule>
  </conditionalFormatting>
  <conditionalFormatting sqref="I14">
    <cfRule type="cellIs" dxfId="11"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9" t="s">
        <v>359</v>
      </c>
      <c r="C1" s="210"/>
      <c r="D1" s="210"/>
      <c r="E1" s="210"/>
      <c r="F1" s="210"/>
      <c r="G1" s="210"/>
      <c r="H1" s="210"/>
      <c r="I1" s="210"/>
      <c r="J1" s="210"/>
      <c r="K1" s="210"/>
      <c r="L1" s="210"/>
      <c r="M1" s="210"/>
      <c r="N1" s="210"/>
      <c r="O1" s="210"/>
      <c r="P1" s="210"/>
      <c r="Q1" s="210"/>
      <c r="R1" s="210"/>
      <c r="S1" s="210"/>
      <c r="T1" s="210"/>
      <c r="U1" s="210"/>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11" t="s">
        <v>225</v>
      </c>
      <c r="C4" s="211"/>
      <c r="D4" s="211"/>
      <c r="E4" s="211"/>
      <c r="F4" s="211"/>
      <c r="G4" s="211"/>
      <c r="I4" s="211" t="s">
        <v>226</v>
      </c>
      <c r="J4" s="211"/>
      <c r="L4" s="211" t="s">
        <v>227</v>
      </c>
      <c r="M4" s="211"/>
      <c r="N4" s="211"/>
      <c r="P4" s="211" t="s">
        <v>228</v>
      </c>
      <c r="Q4" s="211"/>
      <c r="S4" s="211" t="s">
        <v>229</v>
      </c>
      <c r="T4" s="211"/>
      <c r="U4" s="211"/>
    </row>
    <row r="5" spans="2:21" s="58" customFormat="1" ht="157.5" customHeight="1" x14ac:dyDescent="0.3">
      <c r="B5" s="203" t="s">
        <v>334</v>
      </c>
      <c r="C5" s="204"/>
      <c r="D5" s="204"/>
      <c r="E5" s="204"/>
      <c r="F5" s="204"/>
      <c r="G5" s="205"/>
      <c r="I5" s="203" t="s">
        <v>315</v>
      </c>
      <c r="J5" s="205"/>
      <c r="L5" s="203" t="s">
        <v>335</v>
      </c>
      <c r="M5" s="204"/>
      <c r="N5" s="205"/>
      <c r="P5" s="203" t="s">
        <v>312</v>
      </c>
      <c r="Q5" s="205"/>
      <c r="S5" s="203" t="s">
        <v>316</v>
      </c>
      <c r="T5" s="204"/>
      <c r="U5" s="205"/>
    </row>
    <row r="6" spans="2:21" s="59" customFormat="1" ht="80.25" customHeight="1" x14ac:dyDescent="0.3">
      <c r="B6" s="206"/>
      <c r="C6" s="207"/>
      <c r="D6" s="207"/>
      <c r="E6" s="207"/>
      <c r="F6" s="207"/>
      <c r="G6" s="208"/>
      <c r="I6" s="206"/>
      <c r="J6" s="208"/>
      <c r="L6" s="206"/>
      <c r="M6" s="207"/>
      <c r="N6" s="208"/>
      <c r="P6" s="206"/>
      <c r="Q6" s="208"/>
      <c r="S6" s="206"/>
      <c r="T6" s="207"/>
      <c r="U6" s="208"/>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00" t="s">
        <v>328</v>
      </c>
      <c r="Q7" s="201"/>
      <c r="S7" s="200" t="s">
        <v>329</v>
      </c>
      <c r="T7" s="202"/>
      <c r="U7" s="201"/>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2023-06-26T13:45:59Z</dcterms:modified>
</cp:coreProperties>
</file>